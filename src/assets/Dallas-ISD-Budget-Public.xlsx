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mc:AlternateContent>
  <xr:revisionPtr revIDLastSave="0" documentId="13_ncr:1_{D6560CDB-AF22-2246-A1B8-662C66E028A3}" xr6:coauthVersionLast="47" xr6:coauthVersionMax="47" xr10:uidLastSave="{00000000-0000-0000-0000-000000000000}"/>
  <bookViews>
    <workbookView xWindow="0" yWindow="740" windowWidth="29400" windowHeight="18380" activeTab="6" xr2:uid="{7C54388A-B22E-6B48-ACCB-CA0C566E8FE9}"/>
  </bookViews>
  <sheets>
    <sheet name="Budget Summary" sheetId="2" r:id="rId1"/>
    <sheet name="GF Revenue" sheetId="3" r:id="rId2"/>
    <sheet name="GF Expenditures" sheetId="4" r:id="rId3"/>
    <sheet name="Other Funds" sheetId="5" r:id="rId4"/>
    <sheet name="Enrollment" sheetId="6" r:id="rId5"/>
    <sheet name="Scenario Analysis" sheetId="8" r:id="rId6"/>
    <sheet name="Financial Ratios"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3" l="1"/>
  <c r="C37" i="3"/>
  <c r="C36" i="3"/>
  <c r="B38" i="3"/>
  <c r="B37" i="3"/>
  <c r="B36" i="3"/>
  <c r="F40" i="8"/>
  <c r="E40" i="8"/>
  <c r="D40" i="8"/>
  <c r="C40" i="8"/>
  <c r="B40" i="8"/>
  <c r="F39" i="8"/>
  <c r="E39" i="8"/>
  <c r="D39" i="8"/>
  <c r="C39" i="8"/>
  <c r="B39" i="8"/>
  <c r="F38" i="8"/>
  <c r="E38" i="8"/>
  <c r="D38" i="8"/>
  <c r="C38" i="8"/>
  <c r="B38" i="8"/>
  <c r="F37" i="8"/>
  <c r="E37" i="8"/>
  <c r="D37" i="8"/>
  <c r="C37" i="8"/>
  <c r="B37" i="8"/>
  <c r="F33" i="8"/>
  <c r="E33" i="8"/>
  <c r="D33" i="8"/>
  <c r="C33" i="8"/>
  <c r="B33" i="8"/>
  <c r="F31" i="8"/>
  <c r="D31" i="8"/>
  <c r="C31" i="8"/>
  <c r="B31" i="8"/>
  <c r="F30" i="8"/>
  <c r="E30" i="8"/>
  <c r="D30" i="8"/>
  <c r="C30" i="8"/>
  <c r="B30" i="8"/>
  <c r="F29" i="8"/>
  <c r="D29" i="8"/>
  <c r="C29" i="8"/>
  <c r="B29" i="8"/>
  <c r="F28" i="8"/>
  <c r="D28" i="8"/>
  <c r="C28" i="8"/>
  <c r="B28" i="8"/>
  <c r="F25" i="8"/>
  <c r="E25" i="8"/>
  <c r="D25" i="8"/>
  <c r="C25" i="8"/>
  <c r="B25" i="8"/>
  <c r="F24" i="8"/>
  <c r="E24" i="8"/>
  <c r="D24" i="8"/>
  <c r="C24" i="8"/>
  <c r="B24" i="8"/>
  <c r="F22" i="8"/>
  <c r="E22" i="8"/>
  <c r="D22" i="8"/>
  <c r="C22" i="8"/>
  <c r="B22" i="8"/>
  <c r="F20" i="8"/>
  <c r="E20" i="8"/>
  <c r="D20" i="8"/>
  <c r="C20" i="8"/>
  <c r="B20" i="8"/>
  <c r="F19" i="8"/>
  <c r="E19" i="8"/>
  <c r="D19" i="8"/>
  <c r="C19" i="8"/>
  <c r="B19" i="8"/>
  <c r="F18" i="8"/>
  <c r="E18" i="8"/>
  <c r="D18" i="8"/>
  <c r="C18" i="8"/>
  <c r="B18" i="8"/>
  <c r="F17" i="8"/>
  <c r="E17" i="8"/>
  <c r="D17" i="8"/>
  <c r="C17" i="8"/>
  <c r="B17" i="8"/>
  <c r="F16" i="8"/>
  <c r="E16" i="8"/>
  <c r="D16" i="8"/>
  <c r="C16" i="8"/>
  <c r="B16" i="8"/>
  <c r="C10" i="8"/>
  <c r="C9" i="8"/>
  <c r="C8" i="8"/>
  <c r="C7" i="8"/>
  <c r="C5" i="8"/>
  <c r="D36" i="5"/>
  <c r="B19" i="6"/>
  <c r="C36" i="7"/>
  <c r="C35" i="7"/>
  <c r="C34" i="7"/>
  <c r="C33" i="7"/>
  <c r="C32" i="7"/>
  <c r="C28" i="7"/>
  <c r="C27" i="7"/>
  <c r="C25" i="7"/>
  <c r="D23" i="7"/>
  <c r="C23" i="7"/>
  <c r="B23" i="7"/>
  <c r="D22" i="7"/>
  <c r="C22" i="7"/>
  <c r="B22" i="7"/>
  <c r="D18" i="7"/>
  <c r="C18" i="7"/>
  <c r="B18" i="7"/>
  <c r="D17" i="7"/>
  <c r="C17" i="7"/>
  <c r="B17" i="7"/>
  <c r="D16" i="7"/>
  <c r="C16" i="7"/>
  <c r="B16" i="7"/>
  <c r="D15" i="7"/>
  <c r="C15" i="7"/>
  <c r="B15" i="7"/>
  <c r="D14" i="7"/>
  <c r="C14" i="7"/>
  <c r="B14" i="7"/>
  <c r="C10" i="7"/>
  <c r="B10" i="7"/>
  <c r="C9" i="7"/>
  <c r="B9" i="7"/>
  <c r="C8" i="7"/>
  <c r="B8" i="7"/>
  <c r="C7" i="7"/>
  <c r="B7" i="7"/>
  <c r="C6" i="7"/>
  <c r="B6" i="7"/>
  <c r="D10" i="7"/>
  <c r="D9" i="7"/>
  <c r="D8" i="7"/>
  <c r="D7" i="7"/>
  <c r="D6" i="7"/>
  <c r="B16" i="6"/>
  <c r="B15" i="6"/>
  <c r="B14" i="6"/>
  <c r="B13" i="6"/>
  <c r="E8" i="6"/>
  <c r="D8" i="6"/>
  <c r="C8" i="6"/>
  <c r="B8" i="6"/>
  <c r="F7" i="6"/>
  <c r="E7" i="6"/>
  <c r="D7" i="6"/>
  <c r="F6" i="6"/>
  <c r="E6" i="6"/>
  <c r="D6" i="6"/>
  <c r="F5" i="6"/>
  <c r="E5" i="6"/>
  <c r="D5" i="6"/>
  <c r="E48" i="5"/>
  <c r="D48" i="5"/>
  <c r="D34" i="5"/>
  <c r="D27" i="5"/>
  <c r="C27" i="5"/>
  <c r="B27" i="5"/>
  <c r="E26" i="5"/>
  <c r="E25" i="5"/>
  <c r="E24" i="5"/>
  <c r="E23" i="5"/>
  <c r="D18" i="5"/>
  <c r="C18" i="5"/>
  <c r="B18" i="5"/>
  <c r="E17" i="5"/>
  <c r="E16" i="5"/>
  <c r="E15" i="5"/>
  <c r="E14" i="5"/>
  <c r="E13" i="5"/>
  <c r="E12" i="5"/>
  <c r="D9" i="5"/>
  <c r="C9" i="5"/>
  <c r="B9" i="5"/>
  <c r="E8" i="5"/>
  <c r="E7" i="5"/>
  <c r="E6" i="5"/>
  <c r="G34" i="4"/>
  <c r="F34" i="4"/>
  <c r="E34" i="4"/>
  <c r="D34" i="4"/>
  <c r="C34" i="4"/>
  <c r="G33" i="4"/>
  <c r="F33" i="4"/>
  <c r="E33" i="4"/>
  <c r="G32" i="4"/>
  <c r="F32" i="4"/>
  <c r="E32" i="4"/>
  <c r="G31" i="4"/>
  <c r="F31" i="4"/>
  <c r="E31" i="4"/>
  <c r="G30" i="4"/>
  <c r="F30" i="4"/>
  <c r="E30" i="4"/>
  <c r="G29" i="4"/>
  <c r="F29" i="4"/>
  <c r="E29" i="4"/>
  <c r="G28" i="4"/>
  <c r="F28" i="4"/>
  <c r="E28" i="4"/>
  <c r="H24" i="4"/>
  <c r="G24" i="4"/>
  <c r="F24" i="4"/>
  <c r="E24" i="4"/>
  <c r="D24" i="4"/>
  <c r="C24" i="4"/>
  <c r="H23" i="4"/>
  <c r="G23" i="4"/>
  <c r="F23" i="4"/>
  <c r="H22" i="4"/>
  <c r="G22" i="4"/>
  <c r="F22" i="4"/>
  <c r="H21" i="4"/>
  <c r="G21" i="4"/>
  <c r="F21" i="4"/>
  <c r="H20" i="4"/>
  <c r="G20" i="4"/>
  <c r="F20" i="4"/>
  <c r="H19" i="4"/>
  <c r="G19" i="4"/>
  <c r="F19" i="4"/>
  <c r="H18" i="4"/>
  <c r="G18" i="4"/>
  <c r="F18" i="4"/>
  <c r="H17" i="4"/>
  <c r="G17" i="4"/>
  <c r="F17" i="4"/>
  <c r="H16" i="4"/>
  <c r="G16" i="4"/>
  <c r="F16" i="4"/>
  <c r="H15" i="4"/>
  <c r="G15" i="4"/>
  <c r="F15" i="4"/>
  <c r="H14" i="4"/>
  <c r="G14" i="4"/>
  <c r="F14" i="4"/>
  <c r="H13" i="4"/>
  <c r="G13" i="4"/>
  <c r="F13" i="4"/>
  <c r="H12" i="4"/>
  <c r="G12" i="4"/>
  <c r="F12" i="4"/>
  <c r="H11" i="4"/>
  <c r="G11" i="4"/>
  <c r="F11" i="4"/>
  <c r="H10" i="4"/>
  <c r="G10" i="4"/>
  <c r="F10" i="4"/>
  <c r="H9" i="4"/>
  <c r="G9" i="4"/>
  <c r="F9" i="4"/>
  <c r="H8" i="4"/>
  <c r="G8" i="4"/>
  <c r="F8" i="4"/>
  <c r="H7" i="4"/>
  <c r="G7" i="4"/>
  <c r="F7" i="4"/>
  <c r="H6" i="4"/>
  <c r="G6" i="4"/>
  <c r="F6" i="4"/>
  <c r="H5" i="4"/>
  <c r="G5" i="4"/>
  <c r="F5" i="4"/>
  <c r="F31" i="3"/>
  <c r="E31" i="3"/>
  <c r="F29" i="3"/>
  <c r="E29" i="3"/>
  <c r="F28" i="3"/>
  <c r="E28" i="3"/>
  <c r="F27" i="3"/>
  <c r="E27" i="3"/>
  <c r="F26" i="3"/>
  <c r="E26" i="3"/>
  <c r="F25" i="3"/>
  <c r="E25" i="3"/>
  <c r="F24" i="3"/>
  <c r="E24" i="3"/>
  <c r="F21" i="3"/>
  <c r="E21" i="3"/>
  <c r="F20" i="3"/>
  <c r="E20" i="3"/>
  <c r="F19" i="3"/>
  <c r="E19" i="3"/>
  <c r="F18" i="3"/>
  <c r="E18" i="3"/>
  <c r="F15" i="3"/>
  <c r="E15" i="3"/>
  <c r="F14" i="3"/>
  <c r="E14" i="3"/>
  <c r="F13" i="3"/>
  <c r="E13" i="3"/>
  <c r="F12" i="3"/>
  <c r="E12" i="3"/>
  <c r="F11" i="3"/>
  <c r="E11" i="3"/>
  <c r="F10" i="3"/>
  <c r="E10" i="3"/>
  <c r="F9" i="3"/>
  <c r="E9" i="3"/>
  <c r="F8" i="3"/>
  <c r="E8" i="3"/>
  <c r="F7" i="3"/>
  <c r="E7" i="3"/>
  <c r="F6" i="3"/>
  <c r="E6" i="3"/>
  <c r="D31" i="3"/>
  <c r="C31" i="3"/>
  <c r="D29" i="3"/>
  <c r="C29" i="3"/>
  <c r="D21" i="3"/>
  <c r="C21" i="3"/>
  <c r="D15" i="3"/>
  <c r="C15" i="3"/>
  <c r="E39" i="2"/>
  <c r="E38" i="2"/>
  <c r="E37" i="2"/>
  <c r="E34" i="2"/>
  <c r="E32" i="2"/>
  <c r="E12" i="2"/>
  <c r="E13" i="2"/>
  <c r="E14" i="2"/>
  <c r="E15" i="2"/>
  <c r="E16" i="2"/>
  <c r="E17" i="2"/>
  <c r="E18" i="2"/>
  <c r="E19" i="2"/>
  <c r="E20" i="2"/>
  <c r="E21" i="2"/>
  <c r="E22" i="2"/>
  <c r="E23" i="2"/>
  <c r="E24" i="2"/>
  <c r="E25" i="2"/>
  <c r="E26" i="2"/>
  <c r="E27" i="2"/>
  <c r="E28" i="2"/>
  <c r="E29" i="2"/>
  <c r="E30" i="2"/>
  <c r="E31" i="2"/>
  <c r="D39" i="2"/>
  <c r="C39" i="2"/>
  <c r="B39" i="2"/>
  <c r="D34" i="2"/>
  <c r="C34" i="2"/>
  <c r="B34" i="2"/>
  <c r="D32" i="2"/>
  <c r="C32" i="2"/>
  <c r="B32" i="2"/>
  <c r="E9" i="2"/>
  <c r="D9" i="2"/>
  <c r="C9" i="2"/>
  <c r="B9" i="2"/>
  <c r="E8" i="2"/>
  <c r="E7" i="2"/>
  <c r="E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 Almeida</author>
  </authors>
  <commentList>
    <comment ref="C6" authorId="0" shapeId="0" xr:uid="{639FE6F9-2B2F-BD42-AA3A-5C118B0F96A3}">
      <text>
        <r>
          <rPr>
            <b/>
            <sz val="10"/>
            <color rgb="FF000000"/>
            <rFont val="Tahoma"/>
            <family val="2"/>
          </rPr>
          <t>Roberto Almeida:</t>
        </r>
        <r>
          <rPr>
            <sz val="10"/>
            <color rgb="FF000000"/>
            <rFont val="Tahoma"/>
            <family val="2"/>
          </rPr>
          <t xml:space="preserve">
</t>
        </r>
        <r>
          <rPr>
            <sz val="10"/>
            <color rgb="FF000000"/>
            <rFont val="Tahoma"/>
            <family val="2"/>
          </rPr>
          <t>Dallas ISD adopted budget assumes 5% increase in total taxable appraised value of property</t>
        </r>
      </text>
    </comment>
    <comment ref="C7" authorId="0" shapeId="0" xr:uid="{FDB17CA3-F6DE-FD4F-8AA0-07AF1A34B96B}">
      <text>
        <r>
          <rPr>
            <b/>
            <sz val="10"/>
            <color rgb="FF000000"/>
            <rFont val="Tahoma"/>
            <family val="2"/>
          </rPr>
          <t>Roberto Almeida:</t>
        </r>
        <r>
          <rPr>
            <sz val="10"/>
            <color rgb="FF000000"/>
            <rFont val="Tahoma"/>
            <family val="2"/>
          </rPr>
          <t xml:space="preserve">
</t>
        </r>
        <r>
          <rPr>
            <sz val="10"/>
            <color rgb="FF000000"/>
            <rFont val="Tahoma"/>
            <family val="2"/>
          </rPr>
          <t>Tax revenue that would result at 0% growth = FY26 Adopted / (1 + 5%)</t>
        </r>
      </text>
    </comment>
    <comment ref="C8" authorId="0" shapeId="0" xr:uid="{EE78C95D-06D3-5E4B-9EF4-B01401CA728F}">
      <text>
        <r>
          <rPr>
            <b/>
            <sz val="10"/>
            <color rgb="FF000000"/>
            <rFont val="Tahoma"/>
            <family val="2"/>
          </rPr>
          <t>Roberto Almeida:</t>
        </r>
        <r>
          <rPr>
            <sz val="10"/>
            <color rgb="FF000000"/>
            <rFont val="Tahoma"/>
            <family val="2"/>
          </rPr>
          <t xml:space="preserve">
</t>
        </r>
        <r>
          <rPr>
            <sz val="10"/>
            <color rgb="FF000000"/>
            <rFont val="Tahoma"/>
            <family val="2"/>
          </rPr>
          <t>Local revenue minus current-year taxes (investment earnings, rent,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Almeida</author>
  </authors>
  <commentList>
    <comment ref="C24" authorId="0" shapeId="0" xr:uid="{62882256-7996-6E4D-8174-E6761512C0EC}">
      <text>
        <r>
          <rPr>
            <b/>
            <sz val="10"/>
            <color rgb="FF000000"/>
            <rFont val="Tahoma"/>
            <family val="2"/>
          </rPr>
          <t>Roberto Almeida:</t>
        </r>
        <r>
          <rPr>
            <sz val="10"/>
            <color rgb="FF000000"/>
            <rFont val="Tahoma"/>
            <family val="2"/>
          </rPr>
          <t xml:space="preserve">
</t>
        </r>
        <r>
          <rPr>
            <sz val="10"/>
            <color rgb="FF000000"/>
            <rFont val="Tahoma"/>
            <family val="2"/>
          </rPr>
          <t>Deficit budget adopted per board action May 22, 2025</t>
        </r>
      </text>
    </comment>
    <comment ref="C36" authorId="0" shapeId="0" xr:uid="{5E9FF7EA-446F-A94A-B734-99108BE9F02C}">
      <text>
        <r>
          <rPr>
            <b/>
            <sz val="10"/>
            <color rgb="FF000000"/>
            <rFont val="Tahoma"/>
            <family val="2"/>
          </rPr>
          <t>Roberto Almeida:</t>
        </r>
        <r>
          <rPr>
            <sz val="10"/>
            <color rgb="FF000000"/>
            <rFont val="Tahoma"/>
            <family val="2"/>
          </rPr>
          <t xml:space="preserve">
</t>
        </r>
        <r>
          <rPr>
            <sz val="10"/>
            <color rgb="FF000000"/>
            <rFont val="Tahoma"/>
            <family val="2"/>
          </rPr>
          <t>Budget document notes 82.3% if recapture excluded</t>
        </r>
      </text>
    </comment>
  </commentList>
</comments>
</file>

<file path=xl/sharedStrings.xml><?xml version="1.0" encoding="utf-8"?>
<sst xmlns="http://schemas.openxmlformats.org/spreadsheetml/2006/main" count="278" uniqueCount="224">
  <si>
    <t>DALLAS INDEPENDENT SCHOOL DISTRICT</t>
  </si>
  <si>
    <t>FY 2025-2026 Adopted Budget Summary</t>
  </si>
  <si>
    <t>All Funds</t>
  </si>
  <si>
    <t>REVENUE</t>
  </si>
  <si>
    <t>General Operating</t>
  </si>
  <si>
    <t>Food Service</t>
  </si>
  <si>
    <t>Debt Service</t>
  </si>
  <si>
    <t>Total</t>
  </si>
  <si>
    <t>Local Sources</t>
  </si>
  <si>
    <t>State Sources</t>
  </si>
  <si>
    <t>Federal Sources</t>
  </si>
  <si>
    <t>Total Revenue</t>
  </si>
  <si>
    <t>EXPENDITURES</t>
  </si>
  <si>
    <t>11 Instruction</t>
  </si>
  <si>
    <t>12 Inst Resources &amp; Media Svcs</t>
  </si>
  <si>
    <t>13 Curr Dvlp &amp; Inst Staff Dvlp</t>
  </si>
  <si>
    <t>21 Inst Leadership</t>
  </si>
  <si>
    <t>23 School Leadership</t>
  </si>
  <si>
    <t>31 Guidance Counseling &amp; Eval Svc</t>
  </si>
  <si>
    <t>32 Social Work Svc</t>
  </si>
  <si>
    <t>33 Health Svc</t>
  </si>
  <si>
    <t>34 Student Transportation</t>
  </si>
  <si>
    <t>35 Food Services</t>
  </si>
  <si>
    <t>36 Extracurricular Activities</t>
  </si>
  <si>
    <t>41 General Administration</t>
  </si>
  <si>
    <t>51 Facilities Maint/Ops</t>
  </si>
  <si>
    <t>52 Security &amp; Monitoring Svcs</t>
  </si>
  <si>
    <t>53 Data Processing Svcs</t>
  </si>
  <si>
    <t>61 Community Svcs</t>
  </si>
  <si>
    <t>71 Debt Service</t>
  </si>
  <si>
    <t>91 WADA Purchase (Recapture)</t>
  </si>
  <si>
    <t>95 Pymts to Juv Justice AE Prg</t>
  </si>
  <si>
    <t>99 Other Intergov Charges</t>
  </si>
  <si>
    <t>Total Expenditures</t>
  </si>
  <si>
    <t>NET CHANGE</t>
  </si>
  <si>
    <t>OTHER FINANCING SOURCES/USES</t>
  </si>
  <si>
    <t>Other Resources</t>
  </si>
  <si>
    <t>Non-operating Expenses</t>
  </si>
  <si>
    <t>Total Other Financing</t>
  </si>
  <si>
    <t>DALLAS ISD — General Fund Revenue Budget Comparison by Object</t>
  </si>
  <si>
    <t>FY 2025-2026</t>
  </si>
  <si>
    <t>Object</t>
  </si>
  <si>
    <t>Description</t>
  </si>
  <si>
    <t>FY25 Adopted</t>
  </si>
  <si>
    <t>FY26 Adopted</t>
  </si>
  <si>
    <t>$ Change</t>
  </si>
  <si>
    <t>% Change</t>
  </si>
  <si>
    <t>LOCAL / INTERMEDIATE REVENUE</t>
  </si>
  <si>
    <t>Taxes - Current Year</t>
  </si>
  <si>
    <t>Taxes - Prior Year</t>
  </si>
  <si>
    <t>Penalties &amp; Interest</t>
  </si>
  <si>
    <t>Tuition And Fees From Local Sources</t>
  </si>
  <si>
    <t>Investment Earnings</t>
  </si>
  <si>
    <t>Rent Income</t>
  </si>
  <si>
    <t>Gifts &amp; Bequests</t>
  </si>
  <si>
    <t>Other Revenues from Local Sources</t>
  </si>
  <si>
    <t>Athletics Gate Revenue</t>
  </si>
  <si>
    <t>Total Local/Intermediate Revenue</t>
  </si>
  <si>
    <t>STATE PROGRAM REVENUE</t>
  </si>
  <si>
    <t>Per Capita Apportionment</t>
  </si>
  <si>
    <t>Foundation - Salary &amp; Operations</t>
  </si>
  <si>
    <t>TRS On-Behalf</t>
  </si>
  <si>
    <t>Total State Program Revenue</t>
  </si>
  <si>
    <t>FEDERAL PROGRAM REVENUE</t>
  </si>
  <si>
    <t>Revenue From Federal Sources</t>
  </si>
  <si>
    <t>Indirect Cost Through TEA</t>
  </si>
  <si>
    <t>School Health &amp; Related Svcs</t>
  </si>
  <si>
    <t>Fed Rev By State Other Than TEA</t>
  </si>
  <si>
    <t>Misc Federal Revenue</t>
  </si>
  <si>
    <t>Total Federal Program Revenue</t>
  </si>
  <si>
    <t>TOTAL GENERAL FUND REVENUE</t>
  </si>
  <si>
    <t>DALLAS ISD — General Fund Expenditure Budget Comparison</t>
  </si>
  <si>
    <t>FY 2025-2026 — By Function</t>
  </si>
  <si>
    <t>Func</t>
  </si>
  <si>
    <t>FY24 Actual</t>
  </si>
  <si>
    <t>$ Change (YoY)</t>
  </si>
  <si>
    <t>% of Budget</t>
  </si>
  <si>
    <t>Instruction</t>
  </si>
  <si>
    <t>Inst Resources &amp; Media Svcs</t>
  </si>
  <si>
    <t>Curr Dvlp &amp; Inst Staff Dvlp</t>
  </si>
  <si>
    <t>Instructional Leadership</t>
  </si>
  <si>
    <t>School Leadership</t>
  </si>
  <si>
    <t>Guidance Counseling &amp; Eval Svc</t>
  </si>
  <si>
    <t>Social Work Svc</t>
  </si>
  <si>
    <t>Health Services</t>
  </si>
  <si>
    <t>Student Transportation</t>
  </si>
  <si>
    <t>Extracurricular Activities</t>
  </si>
  <si>
    <t>General Administration</t>
  </si>
  <si>
    <t>Facilities Maint/Ops</t>
  </si>
  <si>
    <t>Security &amp; Monitoring Svcs</t>
  </si>
  <si>
    <t>Data Processing Svcs</t>
  </si>
  <si>
    <t>Community Services</t>
  </si>
  <si>
    <t>WADA Purchase (Recapture)</t>
  </si>
  <si>
    <t>Pymts to Juv Justice AE Prg</t>
  </si>
  <si>
    <t>Other Intergov Charges</t>
  </si>
  <si>
    <t>TOTAL GENERAL FUND EXPENDITURES</t>
  </si>
  <si>
    <t>FY 2025-2026 — By Object</t>
  </si>
  <si>
    <t>Payroll Costs</t>
  </si>
  <si>
    <t>Prof/Contracted Svcs</t>
  </si>
  <si>
    <t>Supplies/Materials</t>
  </si>
  <si>
    <t>Other Operating Costs</t>
  </si>
  <si>
    <t>Debt Services</t>
  </si>
  <si>
    <t>Capital Outlay</t>
  </si>
  <si>
    <t>TOTAL</t>
  </si>
  <si>
    <t>DALLAS ISD — Other Funds Summary</t>
  </si>
  <si>
    <t>FOOD SERVICE FUND</t>
  </si>
  <si>
    <t>Revenue</t>
  </si>
  <si>
    <t>Local</t>
  </si>
  <si>
    <t>State</t>
  </si>
  <si>
    <t>Federal</t>
  </si>
  <si>
    <t>Expenditures</t>
  </si>
  <si>
    <t>Contracted Services</t>
  </si>
  <si>
    <t>Supplies and Materials</t>
  </si>
  <si>
    <t>DEBT SERVICE FUND</t>
  </si>
  <si>
    <t>Current Taxes</t>
  </si>
  <si>
    <t>Delinquent Taxes</t>
  </si>
  <si>
    <t>Taxes — Penalties &amp; Interest</t>
  </si>
  <si>
    <t>Investment Earnings / Local</t>
  </si>
  <si>
    <t>Total DS Revenue</t>
  </si>
  <si>
    <t>Expenditures by Bond Authorization</t>
  </si>
  <si>
    <t>2008 Bond Authorization (Fund 528)</t>
  </si>
  <si>
    <t>2015 Bond Authorization (Fund 529)</t>
  </si>
  <si>
    <t>2018 Bond Authorization (Fund 550)</t>
  </si>
  <si>
    <t>2020 Bond Authorization (Fund 551)</t>
  </si>
  <si>
    <t>Total DS Expenditures</t>
  </si>
  <si>
    <t>DS Net Change</t>
  </si>
  <si>
    <t>SPECIAL REVENUE FUNDS</t>
  </si>
  <si>
    <t>Program</t>
  </si>
  <si>
    <t>FY26 Budget</t>
  </si>
  <si>
    <t>FTE</t>
  </si>
  <si>
    <t>Carl D. Perkins</t>
  </si>
  <si>
    <t>Special Education Consolidated</t>
  </si>
  <si>
    <t>Title I Part A: Improving Basic Program</t>
  </si>
  <si>
    <t>Title II, Part A: Supporting Effective Instruction</t>
  </si>
  <si>
    <t>Title III LEP, Part A</t>
  </si>
  <si>
    <t>Title IV, Part A, Subpart 1</t>
  </si>
  <si>
    <t>Other Special Revenue</t>
  </si>
  <si>
    <t>Grand Total Special Revenue</t>
  </si>
  <si>
    <t>DALLAS ISD — Enrollment Comparison</t>
  </si>
  <si>
    <t>FY 2024-2025 vs FY 2025-2026</t>
  </si>
  <si>
    <t>Level</t>
  </si>
  <si>
    <t>FY25 PEIMS Enrollment</t>
  </si>
  <si>
    <t>FY26 Projected Enrollment</t>
  </si>
  <si>
    <t>Change (#)</t>
  </si>
  <si>
    <t>Change (%)</t>
  </si>
  <si>
    <t>% of Total</t>
  </si>
  <si>
    <t>High School</t>
  </si>
  <si>
    <t>Middle School</t>
  </si>
  <si>
    <t>Elementary School</t>
  </si>
  <si>
    <t>TOTAL ALL CAMPUSES</t>
  </si>
  <si>
    <t>Key Enrollment Metrics</t>
  </si>
  <si>
    <t>GF Expenditure per Pupil</t>
  </si>
  <si>
    <t>Change</t>
  </si>
  <si>
    <t>Total All-Funds Expenditure per Pupil</t>
  </si>
  <si>
    <t>DALLAS ISD — Financial Ratios &amp; Analysis</t>
  </si>
  <si>
    <t>FY 2025-2026 Adopted Budget</t>
  </si>
  <si>
    <t>REVENUE COMPOSITION</t>
  </si>
  <si>
    <t>Metric</t>
  </si>
  <si>
    <t>FY25</t>
  </si>
  <si>
    <t>FY26</t>
  </si>
  <si>
    <t>Trend</t>
  </si>
  <si>
    <t>Local Revenue % (GF)</t>
  </si>
  <si>
    <t>State Revenue % (GF)</t>
  </si>
  <si>
    <t>Federal Revenue % (GF)</t>
  </si>
  <si>
    <t>Property Tax % of Local Revenue</t>
  </si>
  <si>
    <t>GF Revenue per Pupil</t>
  </si>
  <si>
    <t>EXPENDITURE COMPOSITION</t>
  </si>
  <si>
    <t>Payroll % of GF Expenditures</t>
  </si>
  <si>
    <t>Instruction % of GF Expenditures</t>
  </si>
  <si>
    <t>Recapture (WADA) % of GF Expenditures</t>
  </si>
  <si>
    <t>Instruction per Pupil</t>
  </si>
  <si>
    <t>BUDGET HEALTH</t>
  </si>
  <si>
    <t>GF Revenue vs Expenditures</t>
  </si>
  <si>
    <t>GF Revenue / GF Expenditures (Coverage)</t>
  </si>
  <si>
    <t>Adopted Budget Deficit / (Surplus)</t>
  </si>
  <si>
    <t>Deficit as % of GF Revenue</t>
  </si>
  <si>
    <t>Debt Service Coverage (DS Fund)</t>
  </si>
  <si>
    <t>DS Fund Net Change</t>
  </si>
  <si>
    <t>RECAPTURE IMPACT</t>
  </si>
  <si>
    <t>WADA (Recapture) Payment</t>
  </si>
  <si>
    <t>Year-over-Year Change</t>
  </si>
  <si>
    <t>Recapture per Pupil</t>
  </si>
  <si>
    <t>GF Expenditures excl. Recapture</t>
  </si>
  <si>
    <t>Payroll % excl. Recapture</t>
  </si>
  <si>
    <t>Dallas ISD’s primary source of revenue comes from local revenues, particularly property taxes. Compared to the prior academic fiscal year, local revenue increased in FY2026, reflecting continued growth in the district’s tax base and local economic activity. This indicates that the district relies heavily on property tax collections and the strength of the local economy to support operations.
At the same time, state and federal revenues declined year-over-year. One possible explanation is that Dallas ISD is generating a larger share of its revenues locally, reducing its dependence on external funding support. This is also consistent with the structure of the Texas school finance system, where stronger local revenue generation may reduce state funding allocations while increasing recapture obligations.
Finally, revenue per pupil increased modestly in FY2026. This suggests that the district continues to maintain stable operating resource generation per student despite ongoing budgetary pressures.</t>
  </si>
  <si>
    <t>Dallas ISD’s largest expenditure category is payroll, representing nearly 78% of General Fund expenditures. Based on the adopted budget, management appears committed to maintaining competitive compensation levels for teachers, staff, and other employees in order to support educational quality and operational stability. This highlights the district’s highly personnel-driven cost structure, which is typical for school districts but limits short-term financial flexibility.
At the same time, the district appears aware of its projected operating deficit entering FY2026 and has implemented cost control measures across more flexible expenditure categories such as supplies, materials, and capital outlay. These adjustments are particularly important given the significant increase in WADA recapture obligations, which continue to place pressure on the operating budget.
An additional point of interest is that expenditure per pupil remains above revenue per pupil. This suggests that the district is allocating more resources per student than it generates in operating revenue, contributing to the structurally negative operating position. However, it also reflects continued investment in educational services and student-related programs.</t>
  </si>
  <si>
    <t>full time equivalent</t>
  </si>
  <si>
    <t>Dallas ISD is entering FY2026 with a projected operating deficit; however, the accounts clearly show improvement compared to FY2025, suggesting that management is actively trying to control and reduce the structural imbalance. The operating coverage ratio of 0.932x indicates that General Fund revenues can cover approximately 93.2% of expenditures. As a result, the district continues to operate with a projected deficit equivalent to 7.3% of General Fund revenues, meaning that operating income alone is not sufficient to fully cover expenditures.
At the same time, the district maintains a separate and organized Debt Service Fund dedicated to debt-related obligations, including bond principal and interest payments. This structure is important because it provides a more stable mechanism to support debt repayment even while the General Fund remains under pressure. Debt service coverage remains above 1.0x, indicating that revenues allocated to the Debt Service Fund are currently sufficient to cover debt obligations.
Finally, the Debt Service Fund reports a positive net change rather than a deficit, which is a positive signal for bondholders and supports the overall credit credibility of the issuer.</t>
  </si>
  <si>
    <t>The impact of recapture on Dallas ISD is highly significant, especially in FY2026, where recapture payments increased by approximately 73% year-over-year. Although this increase is substantial, it is largely connected to the district’s strong local revenue generation under the Texas school finance system.
Because Dallas ISD relies heavily on property taxes, which represent the district’s primary revenue source, the district is considered relatively property-wealthy compared to other school districts in Texas. As a result, a larger portion of locally generated revenue must be redistributed through recapture obligations.
This growing recapture burden reduces the amount of operating resources that remain within the district and places additional pressure on the General Fund. Even after excluding recapture expenditures, payroll continues to represent the largest expenditure category, highlighting the district’s highly personnel-driven operating structure.</t>
  </si>
  <si>
    <t>DALLAS ISD — Property Tax Revenue Scenario Analysis</t>
  </si>
  <si>
    <t>FY 2025-2026 — Impact of Taxable Appraised Value Growth Assumptions</t>
  </si>
  <si>
    <t>BASELINE ASSUMPTIONS</t>
  </si>
  <si>
    <t>FY26 Adopted Current-Year Tax Revenue</t>
  </si>
  <si>
    <t>Budget Assumption: Appraised Value Growth</t>
  </si>
  <si>
    <t>Implied Base Tax Revenue (before growth)</t>
  </si>
  <si>
    <t>FY26 Non-Tax Local Revenue</t>
  </si>
  <si>
    <t>FY26 State + Federal Revenue</t>
  </si>
  <si>
    <t>FY26 Total GF Expenditures (held constant)</t>
  </si>
  <si>
    <t>SCENARIO COMPARISON</t>
  </si>
  <si>
    <t>Stress</t>
  </si>
  <si>
    <t>Bear</t>
  </si>
  <si>
    <t>Moderate</t>
  </si>
  <si>
    <t>Adopted (Base)</t>
  </si>
  <si>
    <t>Bull</t>
  </si>
  <si>
    <t>Appraised Value Growth</t>
  </si>
  <si>
    <t>Current-Year Tax Revenue</t>
  </si>
  <si>
    <t>Other Local Revenue</t>
  </si>
  <si>
    <t>Total Local Revenue</t>
  </si>
  <si>
    <t>State + Federal Revenue</t>
  </si>
  <si>
    <t>Total GF Revenue</t>
  </si>
  <si>
    <t>Total GF Expenditures</t>
  </si>
  <si>
    <t>BUDGET SURPLUS / (DEFICIT)</t>
  </si>
  <si>
    <t>IMPACT ANALYSIS</t>
  </si>
  <si>
    <t>Tax Revenue vs Adopted</t>
  </si>
  <si>
    <t>Deficit Change vs Adopted</t>
  </si>
  <si>
    <t>Revenue per Pupil</t>
  </si>
  <si>
    <t>Revenue per Pupil vs Adopted</t>
  </si>
  <si>
    <t>REVENUE COVERAGE RATIO (Rev / Exp)</t>
  </si>
  <si>
    <t>CHART DATA</t>
  </si>
  <si>
    <t>Scenario</t>
  </si>
  <si>
    <t>Deficit ($M)</t>
  </si>
  <si>
    <t>Coverage Ratio</t>
  </si>
  <si>
    <t>Revenue per Pupil ($K)</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</si>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</sst>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
    <numFmt numFmtId="165" formatCode="&quot;$&quot;#,##0;\(&quot;$&quot;#,##0\);&quot;-&quot;"/>
    <numFmt numFmtId="166" formatCode="0.0%;\(0.0%\);&quot;-&quot;"/>
    <numFmt numFmtId="167" formatCode="0.0%"/>
    <numFmt numFmtId="168" formatCode="#,##0;\(#,##0\);&quot;-&quot;"/>
    <numFmt numFmtId="169" formatCode="0.000"/>
    <numFmt numFmtId="171" formatCode="0.00&quot;x&quot;"/>
    <numFmt numFmtId="177" formatCode="0.000&quot;x&quot;"/>
  </numFmts>
  <fonts count="17" x14ac:knownFonts="1">
    <font>
      <sz val="12"/>
      <color theme="1"/>
      <name val="Aptos Narrow"/>
      <family val="2"/>
      <scheme val="minor"/>
    </font>
    <font>
      <b/>
      <sz val="12"/>
      <color theme="1"/>
      <name val="Aptos Narrow"/>
      <family val="2"/>
      <scheme val="minor"/>
    </font>
    <font>
      <b/>
      <sz val="14"/>
      <color rgb="FF003366"/>
      <name val="Aptos Narrow"/>
      <family val="2"/>
      <scheme val="minor"/>
    </font>
    <font>
      <b/>
      <sz val="12"/>
      <color rgb="FF003366"/>
      <name val="Aptos Narrow"/>
      <family val="2"/>
      <scheme val="minor"/>
    </font>
    <font>
      <i/>
      <sz val="12"/>
      <color rgb="FF666666"/>
      <name val="Aptos Narrow"/>
      <family val="2"/>
      <scheme val="minor"/>
    </font>
    <font>
      <b/>
      <sz val="11"/>
      <color rgb="FFFFFFFF"/>
      <name val="Aptos Narrow"/>
      <family val="2"/>
      <scheme val="minor"/>
    </font>
    <font>
      <sz val="12"/>
      <color rgb="FF0000FF"/>
      <name val="Aptos Narrow"/>
      <family val="2"/>
      <scheme val="minor"/>
    </font>
    <font>
      <b/>
      <sz val="12"/>
      <color rgb="FF0000FF"/>
      <name val="Aptos Narrow"/>
      <family val="2"/>
      <scheme val="minor"/>
    </font>
    <font>
      <b/>
      <sz val="11"/>
      <color theme="1"/>
      <name val="Aptos Narrow"/>
      <family val="2"/>
      <scheme val="minor"/>
    </font>
    <font>
      <b/>
      <sz val="13"/>
      <color rgb="FF003366"/>
      <name val="Aptos Narrow"/>
      <family val="2"/>
      <scheme val="minor"/>
    </font>
    <font>
      <b/>
      <sz val="12"/>
      <color rgb="FFFFFFFF"/>
      <name val="Aptos Narrow"/>
      <family val="2"/>
      <scheme val="minor"/>
    </font>
    <font>
      <b/>
      <sz val="12"/>
      <color rgb="FFFF0000"/>
      <name val="Aptos Narrow"/>
      <family val="2"/>
      <scheme val="minor"/>
    </font>
    <font>
      <sz val="10"/>
      <color rgb="FF000000"/>
      <name val="Tahoma"/>
      <family val="2"/>
    </font>
    <font>
      <b/>
      <sz val="10"/>
      <color rgb="FF000000"/>
      <name val="Tahoma"/>
      <family val="2"/>
    </font>
    <font>
      <sz val="12"/>
      <color rgb="FF999999"/>
      <name val="Aptos Narrow"/>
      <family val="2"/>
      <scheme val="minor"/>
    </font>
    <font>
      <sz val="9"/>
      <color rgb="FF999999"/>
      <name val="Aptos Narrow"/>
      <family val="2"/>
      <scheme val="minor"/>
    </font>
    <font>
      <b/>
      <sz val="9"/>
      <color rgb="FF999999"/>
      <name val="Aptos Narrow"/>
      <family val="2"/>
      <scheme val="minor"/>
    </font>
  </fonts>
  <fills count="12">
    <fill>
      <patternFill patternType="none"/>
    </fill>
    <fill>
      <patternFill patternType="gray125"/>
    </fill>
    <fill>
      <patternFill patternType="solid">
        <fgColor rgb="FF003366"/>
        <bgColor indexed="64"/>
      </patternFill>
    </fill>
    <fill>
      <patternFill patternType="solid">
        <fgColor rgb="FFD9E2F3"/>
        <bgColor indexed="64"/>
      </patternFill>
    </fill>
    <fill>
      <patternFill patternType="solid">
        <fgColor rgb="FFFFF2CC"/>
        <bgColor indexed="64"/>
      </patternFill>
    </fill>
    <fill>
      <patternFill patternType="solid">
        <fgColor rgb="FFE2EFDA"/>
        <bgColor indexed="64"/>
      </patternFill>
    </fill>
    <fill>
      <patternFill patternType="solid">
        <fgColor rgb="FFF2F2F2"/>
        <bgColor indexed="64"/>
      </patternFill>
    </fill>
    <fill>
      <patternFill patternType="solid">
        <fgColor rgb="FFFFFF00"/>
        <bgColor indexed="64"/>
      </patternFill>
    </fill>
    <fill>
      <patternFill patternType="solid">
        <fgColor rgb="FFFFD7D7"/>
        <bgColor indexed="64"/>
      </patternFill>
    </fill>
    <fill>
      <patternFill patternType="solid">
        <fgColor rgb="FFFFE8CC"/>
        <bgColor indexed="64"/>
      </patternFill>
    </fill>
    <fill>
      <patternFill patternType="solid">
        <fgColor rgb="FFD9EAD3"/>
        <bgColor indexed="64"/>
      </patternFill>
    </fill>
    <fill>
      <patternFill patternType="solid">
        <fgColor rgb="FFD0E0F0"/>
        <bgColor indexed="64"/>
      </patternFill>
    </fill>
  </fills>
  <borders count="7">
    <border>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medium">
        <color rgb="FF003366"/>
      </left>
      <right style="medium">
        <color rgb="FF003366"/>
      </right>
      <top/>
      <bottom style="thin">
        <color rgb="FFD9D9D9"/>
      </bottom>
      <diagonal/>
    </border>
    <border>
      <left style="medium">
        <color rgb="FF003366"/>
      </left>
      <right style="medium">
        <color rgb="FF003366"/>
      </right>
      <top style="thin">
        <color rgb="FFD9D9D9"/>
      </top>
      <bottom style="thin">
        <color rgb="FFD9D9D9"/>
      </bottom>
      <diagonal/>
    </border>
    <border>
      <left style="medium">
        <color rgb="FF003366"/>
      </left>
      <right style="medium">
        <color rgb="FF003366"/>
      </right>
      <top style="thin">
        <color rgb="FFD9D9D9"/>
      </top>
      <bottom/>
      <diagonal/>
    </border>
  </borders>
  <cellStyleXfs count="1">
    <xf numFmtId="0" fontId="0" fillId="0" borderId="0"/>
  </cellStyleXfs>
  <cellXfs count="88">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5" fillId="2" borderId="0" xfId="0" applyFont="1" applyFill="1" applyAlignment="1">
      <alignment horizontal="right"/>
    </xf>
    <xf numFmtId="0" fontId="6" fillId="0" borderId="0" xfId="0" applyFont="1"/>
    <xf numFmtId="164" fontId="6" fillId="0" borderId="0" xfId="0" applyNumberFormat="1" applyFont="1"/>
    <xf numFmtId="0" fontId="1" fillId="0" borderId="0" xfId="0" applyFont="1"/>
    <xf numFmtId="164" fontId="1" fillId="0" borderId="0" xfId="0" applyNumberFormat="1" applyFont="1"/>
    <xf numFmtId="165" fontId="6" fillId="0" borderId="0" xfId="0" applyNumberFormat="1" applyFont="1"/>
    <xf numFmtId="0" fontId="7" fillId="3" borderId="0" xfId="0" applyFont="1" applyFill="1"/>
    <xf numFmtId="0" fontId="1" fillId="3" borderId="0" xfId="0" applyFont="1" applyFill="1"/>
    <xf numFmtId="164" fontId="1" fillId="3" borderId="0" xfId="0" applyNumberFormat="1" applyFont="1" applyFill="1"/>
    <xf numFmtId="164" fontId="0" fillId="0" borderId="0" xfId="0" applyNumberFormat="1"/>
    <xf numFmtId="165" fontId="0" fillId="0" borderId="0" xfId="0" applyNumberFormat="1"/>
    <xf numFmtId="0" fontId="8" fillId="4" borderId="0" xfId="0" applyFont="1" applyFill="1"/>
    <xf numFmtId="164" fontId="1" fillId="4" borderId="0" xfId="0" applyNumberFormat="1" applyFont="1" applyFill="1"/>
    <xf numFmtId="165" fontId="1" fillId="4" borderId="0" xfId="0" applyNumberFormat="1" applyFont="1" applyFill="1"/>
    <xf numFmtId="165" fontId="1" fillId="0" borderId="0" xfId="0" applyNumberFormat="1" applyFont="1"/>
    <xf numFmtId="165" fontId="1" fillId="3" borderId="0" xfId="0" applyNumberFormat="1" applyFont="1" applyFill="1"/>
    <xf numFmtId="165" fontId="8" fillId="4" borderId="0" xfId="0" applyNumberFormat="1" applyFont="1" applyFill="1"/>
    <xf numFmtId="165" fontId="7" fillId="0" borderId="0" xfId="0" applyNumberFormat="1" applyFont="1"/>
    <xf numFmtId="0" fontId="9" fillId="0" borderId="0" xfId="0" applyFont="1"/>
    <xf numFmtId="0" fontId="10" fillId="2" borderId="0" xfId="0" applyFont="1" applyFill="1"/>
    <xf numFmtId="0" fontId="10" fillId="2" borderId="0" xfId="0" applyFont="1" applyFill="1" applyAlignment="1">
      <alignment horizontal="right"/>
    </xf>
    <xf numFmtId="0" fontId="1" fillId="5" borderId="0" xfId="0" applyFont="1" applyFill="1"/>
    <xf numFmtId="164" fontId="1" fillId="5" borderId="0" xfId="0" applyNumberFormat="1" applyFont="1" applyFill="1"/>
    <xf numFmtId="0" fontId="1" fillId="4" borderId="0" xfId="0" applyFont="1" applyFill="1"/>
    <xf numFmtId="166" fontId="0" fillId="0" borderId="0" xfId="0" applyNumberFormat="1"/>
    <xf numFmtId="165" fontId="1" fillId="5" borderId="0" xfId="0" applyNumberFormat="1" applyFont="1" applyFill="1"/>
    <xf numFmtId="166" fontId="1" fillId="5" borderId="0" xfId="0" applyNumberFormat="1" applyFont="1" applyFill="1"/>
    <xf numFmtId="166" fontId="1" fillId="4" borderId="0" xfId="0" applyNumberFormat="1" applyFont="1" applyFill="1"/>
    <xf numFmtId="167" fontId="0" fillId="0" borderId="0" xfId="0" applyNumberFormat="1"/>
    <xf numFmtId="167" fontId="1" fillId="4" borderId="0" xfId="0" applyNumberFormat="1" applyFont="1" applyFill="1"/>
    <xf numFmtId="0" fontId="1" fillId="3" borderId="0" xfId="0" applyFont="1" applyFill="1" applyAlignment="1">
      <alignment horizontal="right"/>
    </xf>
    <xf numFmtId="0" fontId="0" fillId="5" borderId="0" xfId="0" applyFill="1"/>
    <xf numFmtId="0" fontId="0" fillId="3" borderId="0" xfId="0" applyFill="1"/>
    <xf numFmtId="2" fontId="0" fillId="0" borderId="0" xfId="0" applyNumberFormat="1"/>
    <xf numFmtId="2" fontId="1" fillId="5" borderId="0" xfId="0" applyNumberFormat="1" applyFont="1" applyFill="1"/>
    <xf numFmtId="3" fontId="6" fillId="0" borderId="0" xfId="0" applyNumberFormat="1" applyFont="1"/>
    <xf numFmtId="168" fontId="0" fillId="0" borderId="0" xfId="0" applyNumberFormat="1"/>
    <xf numFmtId="3" fontId="1" fillId="4" borderId="0" xfId="0" applyNumberFormat="1" applyFont="1" applyFill="1"/>
    <xf numFmtId="168" fontId="1" fillId="4" borderId="0" xfId="0" applyNumberFormat="1" applyFont="1" applyFill="1"/>
    <xf numFmtId="0" fontId="0" fillId="4" borderId="0" xfId="0" applyFill="1"/>
    <xf numFmtId="0" fontId="0" fillId="2" borderId="0" xfId="0" applyFill="1"/>
    <xf numFmtId="0" fontId="1" fillId="3" borderId="0" xfId="0" applyFont="1" applyFill="1" applyAlignment="1">
      <alignment horizontal="center"/>
    </xf>
    <xf numFmtId="0" fontId="0" fillId="0" borderId="0" xfId="0" applyAlignment="1">
      <alignment horizontal="center"/>
    </xf>
    <xf numFmtId="169" fontId="0" fillId="0" borderId="0" xfId="0" applyNumberFormat="1"/>
    <xf numFmtId="165" fontId="11" fillId="0" borderId="0" xfId="0" applyNumberFormat="1" applyFont="1"/>
    <xf numFmtId="167" fontId="11" fillId="0" borderId="0" xfId="0" applyNumberFormat="1" applyFont="1"/>
    <xf numFmtId="171" fontId="0" fillId="0" borderId="0" xfId="0" applyNumberFormat="1"/>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0" fillId="6" borderId="0" xfId="0" applyFill="1"/>
    <xf numFmtId="164" fontId="0" fillId="6" borderId="0" xfId="0" applyNumberFormat="1" applyFill="1"/>
    <xf numFmtId="167" fontId="7" fillId="7" borderId="0" xfId="0" applyNumberFormat="1" applyFont="1" applyFill="1"/>
    <xf numFmtId="177" fontId="0" fillId="0" borderId="0" xfId="0" applyNumberFormat="1"/>
    <xf numFmtId="0" fontId="1" fillId="3" borderId="1" xfId="0" applyFont="1" applyFill="1" applyBorder="1"/>
    <xf numFmtId="0" fontId="1" fillId="8" borderId="1" xfId="0" applyFont="1" applyFill="1" applyBorder="1" applyAlignment="1">
      <alignment horizontal="center"/>
    </xf>
    <xf numFmtId="0" fontId="1" fillId="9" borderId="1" xfId="0" applyFont="1" applyFill="1" applyBorder="1" applyAlignment="1">
      <alignment horizontal="center"/>
    </xf>
    <xf numFmtId="0" fontId="1" fillId="4" borderId="1" xfId="0" applyFont="1" applyFill="1" applyBorder="1" applyAlignment="1">
      <alignment horizontal="center"/>
    </xf>
    <xf numFmtId="0" fontId="1" fillId="11" borderId="1" xfId="0" applyFont="1" applyFill="1" applyBorder="1" applyAlignment="1">
      <alignment horizontal="center"/>
    </xf>
    <xf numFmtId="0" fontId="1" fillId="3" borderId="2" xfId="0" applyFont="1" applyFill="1" applyBorder="1"/>
    <xf numFmtId="167" fontId="7" fillId="8" borderId="2" xfId="0" applyNumberFormat="1" applyFont="1" applyFill="1" applyBorder="1" applyAlignment="1">
      <alignment horizontal="center"/>
    </xf>
    <xf numFmtId="167" fontId="7" fillId="9" borderId="2" xfId="0" applyNumberFormat="1" applyFont="1" applyFill="1" applyBorder="1" applyAlignment="1">
      <alignment horizontal="center"/>
    </xf>
    <xf numFmtId="167" fontId="7" fillId="4" borderId="2" xfId="0" applyNumberFormat="1" applyFont="1" applyFill="1" applyBorder="1" applyAlignment="1">
      <alignment horizontal="center"/>
    </xf>
    <xf numFmtId="167" fontId="7" fillId="11" borderId="2" xfId="0" applyNumberFormat="1" applyFont="1" applyFill="1" applyBorder="1" applyAlignment="1">
      <alignment horizontal="center"/>
    </xf>
    <xf numFmtId="0" fontId="0" fillId="0" borderId="2" xfId="0" applyBorder="1"/>
    <xf numFmtId="0" fontId="1" fillId="0" borderId="2" xfId="0" applyFont="1" applyBorder="1"/>
    <xf numFmtId="164" fontId="0" fillId="0" borderId="2" xfId="0" applyNumberFormat="1" applyBorder="1"/>
    <xf numFmtId="0" fontId="1" fillId="5" borderId="2" xfId="0" applyFont="1" applyFill="1" applyBorder="1"/>
    <xf numFmtId="164" fontId="1" fillId="5" borderId="2" xfId="0" applyNumberFormat="1" applyFont="1" applyFill="1" applyBorder="1"/>
    <xf numFmtId="0" fontId="8" fillId="4" borderId="2" xfId="0" applyFont="1" applyFill="1" applyBorder="1"/>
    <xf numFmtId="165" fontId="8" fillId="4" borderId="2" xfId="0" applyNumberFormat="1" applyFont="1" applyFill="1" applyBorder="1"/>
    <xf numFmtId="0" fontId="0" fillId="0" borderId="3" xfId="0" applyBorder="1"/>
    <xf numFmtId="166" fontId="0" fillId="0" borderId="3" xfId="0" applyNumberFormat="1" applyBorder="1"/>
    <xf numFmtId="0" fontId="1" fillId="10" borderId="4" xfId="0" applyFont="1" applyFill="1" applyBorder="1" applyAlignment="1">
      <alignment horizontal="center"/>
    </xf>
    <xf numFmtId="167" fontId="7" fillId="10" borderId="5" xfId="0" applyNumberFormat="1" applyFont="1" applyFill="1" applyBorder="1" applyAlignment="1">
      <alignment horizontal="center"/>
    </xf>
    <xf numFmtId="0" fontId="0" fillId="0" borderId="5" xfId="0" applyBorder="1"/>
    <xf numFmtId="164" fontId="0" fillId="0" borderId="5" xfId="0" applyNumberFormat="1" applyBorder="1"/>
    <xf numFmtId="164" fontId="1" fillId="5" borderId="5" xfId="0" applyNumberFormat="1" applyFont="1" applyFill="1" applyBorder="1"/>
    <xf numFmtId="165" fontId="8" fillId="4" borderId="5" xfId="0" applyNumberFormat="1" applyFont="1" applyFill="1" applyBorder="1"/>
    <xf numFmtId="166" fontId="0" fillId="0" borderId="6" xfId="0" applyNumberFormat="1" applyBorder="1"/>
    <xf numFmtId="0" fontId="14" fillId="0" borderId="0" xfId="0" applyFont="1"/>
    <xf numFmtId="0" fontId="15" fillId="0" borderId="0" xfId="0" applyFont="1"/>
    <xf numFmtId="0" fontId="16" fillId="0" borderId="0" xfId="0" applyFont="1"/>
  </cellXfs>
  <cellStyles count="1">
    <cellStyle name="Normal" xfId="0" builtinId="0"/>
  </cellStyles>
  <dxfs count="7">
    <dxf>
      <font>
        <color rgb="FFCC0000"/>
      </font>
    </dxf>
    <dxf>
      <font>
        <color rgb="FFFF0000"/>
      </font>
    </dxf>
    <dxf>
      <font>
        <color rgb="FF008000"/>
      </font>
    </dxf>
    <dxf>
      <font>
        <color rgb="FFFF0000"/>
      </font>
    </dxf>
    <dxf>
      <font>
        <color rgb="FF008000"/>
      </font>
    </dxf>
    <dxf>
      <font>
        <color rgb="FFFF0000"/>
      </font>
    </dxf>
    <dxf>
      <font>
        <color rgb="FF008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r>
              <a:rPr lang="en-US"/>
              <a:t>GF Revenue by Source: FY25 vs FY26</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endParaRPr lang="en-US"/>
        </a:p>
      </c:txPr>
    </c:title>
    <c:autoTitleDeleted val="0"/>
    <c:plotArea>
      <c:layout/>
      <c:barChart>
        <c:barDir val="bar"/>
        <c:grouping val="clustered"/>
        <c:varyColors val="0"/>
        <c:ser>
          <c:idx val="0"/>
          <c:order val="0"/>
          <c:tx>
            <c:strRef>
              <c:f>'GF Revenue'!$B$35</c:f>
              <c:strCache>
                <c:ptCount val="1"/>
                <c:pt idx="0">
                  <c:v>FY25</c:v>
                </c:pt>
              </c:strCache>
            </c:strRef>
          </c:tx>
          <c:spPr>
            <a:solidFill>
              <a:schemeClr val="accent1"/>
            </a:solidFill>
            <a:ln>
              <a:noFill/>
            </a:ln>
            <a:effectLst/>
          </c:spPr>
          <c:invertIfNegative val="0"/>
          <c:cat>
            <c:strRef>
              <c:f>'GF Revenue'!$A$36:$A$38</c:f>
              <c:strCache>
                <c:ptCount val="3"/>
                <c:pt idx="0">
                  <c:v>Local Sources</c:v>
                </c:pt>
                <c:pt idx="1">
                  <c:v>State Sources</c:v>
                </c:pt>
                <c:pt idx="2">
                  <c:v>Federal Sources</c:v>
                </c:pt>
              </c:strCache>
            </c:strRef>
          </c:cat>
          <c:val>
            <c:numRef>
              <c:f>'GF Revenue'!$B$36:$B$38</c:f>
              <c:numCache>
                <c:formatCode>General</c:formatCode>
                <c:ptCount val="3"/>
                <c:pt idx="0">
                  <c:v>1416296224</c:v>
                </c:pt>
                <c:pt idx="1">
                  <c:v>222398114</c:v>
                </c:pt>
                <c:pt idx="2">
                  <c:v>55800000</c:v>
                </c:pt>
              </c:numCache>
            </c:numRef>
          </c:val>
          <c:extLst>
            <c:ext xmlns:c16="http://schemas.microsoft.com/office/drawing/2014/chart" uri="{C3380CC4-5D6E-409C-BE32-E72D297353CC}">
              <c16:uniqueId val="{00000000-79FB-9746-BEF2-40D51CD85168}"/>
            </c:ext>
          </c:extLst>
        </c:ser>
        <c:ser>
          <c:idx val="1"/>
          <c:order val="1"/>
          <c:tx>
            <c:strRef>
              <c:f>'GF Revenue'!$C$35</c:f>
              <c:strCache>
                <c:ptCount val="1"/>
                <c:pt idx="0">
                  <c:v>FY26</c:v>
                </c:pt>
              </c:strCache>
            </c:strRef>
          </c:tx>
          <c:spPr>
            <a:solidFill>
              <a:schemeClr val="accent2"/>
            </a:solidFill>
            <a:ln>
              <a:noFill/>
            </a:ln>
            <a:effectLst/>
          </c:spPr>
          <c:invertIfNegative val="0"/>
          <c:cat>
            <c:strRef>
              <c:f>'GF Revenue'!$A$36:$A$38</c:f>
              <c:strCache>
                <c:ptCount val="3"/>
                <c:pt idx="0">
                  <c:v>Local Sources</c:v>
                </c:pt>
                <c:pt idx="1">
                  <c:v>State Sources</c:v>
                </c:pt>
                <c:pt idx="2">
                  <c:v>Federal Sources</c:v>
                </c:pt>
              </c:strCache>
            </c:strRef>
          </c:cat>
          <c:val>
            <c:numRef>
              <c:f>'GF Revenue'!$C$36:$C$38</c:f>
              <c:numCache>
                <c:formatCode>General</c:formatCode>
                <c:ptCount val="3"/>
                <c:pt idx="0">
                  <c:v>1540524976</c:v>
                </c:pt>
                <c:pt idx="1">
                  <c:v>166516511</c:v>
                </c:pt>
                <c:pt idx="2">
                  <c:v>47649092</c:v>
                </c:pt>
              </c:numCache>
            </c:numRef>
          </c:val>
          <c:extLst>
            <c:ext xmlns:c16="http://schemas.microsoft.com/office/drawing/2014/chart" uri="{C3380CC4-5D6E-409C-BE32-E72D297353CC}">
              <c16:uniqueId val="{00000001-79FB-9746-BEF2-40D51CD85168}"/>
            </c:ext>
          </c:extLst>
        </c:ser>
        <c:dLbls>
          <c:showLegendKey val="0"/>
          <c:showVal val="0"/>
          <c:showCatName val="0"/>
          <c:showSerName val="0"/>
          <c:showPercent val="0"/>
          <c:showBubbleSize val="0"/>
        </c:dLbls>
        <c:gapWidth val="182"/>
        <c:axId val="770375152"/>
        <c:axId val="1114017295"/>
      </c:barChart>
      <c:catAx>
        <c:axId val="77037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17295"/>
        <c:crosses val="autoZero"/>
        <c:auto val="1"/>
        <c:lblAlgn val="ctr"/>
        <c:lblOffset val="100"/>
        <c:noMultiLvlLbl val="0"/>
      </c:catAx>
      <c:valAx>
        <c:axId val="11140172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75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r>
              <a:rPr lang="en-US"/>
              <a:t>FY26 GF Expenditures by Object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endParaRPr lang="en-US"/>
        </a:p>
      </c:txPr>
    </c:title>
    <c:autoTitleDeleted val="0"/>
    <c:plotArea>
      <c:layout/>
      <c:pieChart>
        <c:varyColors val="1"/>
        <c:ser>
          <c:idx val="0"/>
          <c:order val="0"/>
          <c:tx>
            <c:v>FY26 Expenditures by Object</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'GF Expenditures'!$B$28:$B$33</c:f>
              <c:strCache>
                <c:ptCount val="6"/>
                <c:pt idx="0">
                  <c:v>Payroll Costs</c:v>
                </c:pt>
                <c:pt idx="1">
                  <c:v>Prof/Contracted Svcs</c:v>
                </c:pt>
                <c:pt idx="2">
                  <c:v>Supplies/Materials</c:v>
                </c:pt>
                <c:pt idx="3">
                  <c:v>Other Operating Costs</c:v>
                </c:pt>
                <c:pt idx="4">
                  <c:v>Debt Services</c:v>
                </c:pt>
                <c:pt idx="5">
                  <c:v>Capital Outlay</c:v>
                </c:pt>
              </c:strCache>
            </c:strRef>
          </c:cat>
          <c:val>
            <c:numRef>
              <c:f>'GF Expenditures'!$D$28:$D$33</c:f>
              <c:numCache>
                <c:formatCode>"$"#,##0</c:formatCode>
                <c:ptCount val="6"/>
                <c:pt idx="0">
                  <c:v>1464112663</c:v>
                </c:pt>
                <c:pt idx="1">
                  <c:v>264035889</c:v>
                </c:pt>
                <c:pt idx="2">
                  <c:v>103119787</c:v>
                </c:pt>
                <c:pt idx="3">
                  <c:v>35157708</c:v>
                </c:pt>
                <c:pt idx="4">
                  <c:v>12852237</c:v>
                </c:pt>
                <c:pt idx="5">
                  <c:v>4285963</c:v>
                </c:pt>
              </c:numCache>
            </c:numRef>
          </c:val>
          <c:extLst>
            <c:ext xmlns:c16="http://schemas.microsoft.com/office/drawing/2014/chart" uri="{C3380CC4-5D6E-409C-BE32-E72D297353CC}">
              <c16:uniqueId val="{00000001-09F7-774F-B730-6777C88399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r>
              <a:rPr lang="en-US"/>
              <a:t>Enrollment by Level: FY25 vs FY26</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endParaRPr lang="en-US"/>
        </a:p>
      </c:txPr>
    </c:title>
    <c:autoTitleDeleted val="0"/>
    <c:plotArea>
      <c:layout/>
      <c:barChart>
        <c:barDir val="bar"/>
        <c:grouping val="clustered"/>
        <c:varyColors val="0"/>
        <c:ser>
          <c:idx val="0"/>
          <c:order val="0"/>
          <c:tx>
            <c:strRef>
              <c:f>Enrollment!$B$4</c:f>
              <c:strCache>
                <c:ptCount val="1"/>
                <c:pt idx="0">
                  <c:v>FY25 PEIMS Enrollment</c:v>
                </c:pt>
              </c:strCache>
            </c:strRef>
          </c:tx>
          <c:spPr>
            <a:solidFill>
              <a:srgbClr val="8DB4E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Enrollment!$A$5:$A$7</c:f>
              <c:strCache>
                <c:ptCount val="3"/>
                <c:pt idx="0">
                  <c:v>High School</c:v>
                </c:pt>
                <c:pt idx="1">
                  <c:v>Middle School</c:v>
                </c:pt>
                <c:pt idx="2">
                  <c:v>Elementary School</c:v>
                </c:pt>
              </c:strCache>
            </c:strRef>
          </c:cat>
          <c:val>
            <c:numRef>
              <c:f>Enrollment!$B$5:$B$7</c:f>
              <c:numCache>
                <c:formatCode>#,##0</c:formatCode>
                <c:ptCount val="3"/>
                <c:pt idx="0">
                  <c:v>40987</c:v>
                </c:pt>
                <c:pt idx="1">
                  <c:v>28787</c:v>
                </c:pt>
                <c:pt idx="2">
                  <c:v>70028</c:v>
                </c:pt>
              </c:numCache>
            </c:numRef>
          </c:val>
          <c:extLst>
            <c:ext xmlns:c16="http://schemas.microsoft.com/office/drawing/2014/chart" uri="{C3380CC4-5D6E-409C-BE32-E72D297353CC}">
              <c16:uniqueId val="{00000000-68C3-4B4E-A6B5-1B48BF3E8FC1}"/>
            </c:ext>
          </c:extLst>
        </c:ser>
        <c:ser>
          <c:idx val="1"/>
          <c:order val="1"/>
          <c:tx>
            <c:strRef>
              <c:f>Enrollment!$C$4</c:f>
              <c:strCache>
                <c:ptCount val="1"/>
                <c:pt idx="0">
                  <c:v>FY26 Projected Enrollment</c:v>
                </c:pt>
              </c:strCache>
            </c:strRef>
          </c:tx>
          <c:spPr>
            <a:solidFill>
              <a:srgbClr val="00336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Enrollment!$A$5:$A$7</c:f>
              <c:strCache>
                <c:ptCount val="3"/>
                <c:pt idx="0">
                  <c:v>High School</c:v>
                </c:pt>
                <c:pt idx="1">
                  <c:v>Middle School</c:v>
                </c:pt>
                <c:pt idx="2">
                  <c:v>Elementary School</c:v>
                </c:pt>
              </c:strCache>
            </c:strRef>
          </c:cat>
          <c:val>
            <c:numRef>
              <c:f>Enrollment!$C$5:$C$7</c:f>
              <c:numCache>
                <c:formatCode>#,##0</c:formatCode>
                <c:ptCount val="3"/>
                <c:pt idx="0">
                  <c:v>39548</c:v>
                </c:pt>
                <c:pt idx="1">
                  <c:v>27875</c:v>
                </c:pt>
                <c:pt idx="2">
                  <c:v>72467</c:v>
                </c:pt>
              </c:numCache>
            </c:numRef>
          </c:val>
          <c:extLst>
            <c:ext xmlns:c16="http://schemas.microsoft.com/office/drawing/2014/chart" uri="{C3380CC4-5D6E-409C-BE32-E72D297353CC}">
              <c16:uniqueId val="{00000001-68C3-4B4E-A6B5-1B48BF3E8FC1}"/>
            </c:ext>
          </c:extLst>
        </c:ser>
        <c:dLbls>
          <c:showLegendKey val="0"/>
          <c:showVal val="0"/>
          <c:showCatName val="0"/>
          <c:showSerName val="0"/>
          <c:showPercent val="0"/>
          <c:showBubbleSize val="0"/>
        </c:dLbls>
        <c:gapWidth val="182"/>
        <c:axId val="640923456"/>
        <c:axId val="640925168"/>
      </c:barChart>
      <c:catAx>
        <c:axId val="64092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25168"/>
        <c:crosses val="autoZero"/>
        <c:auto val="1"/>
        <c:lblAlgn val="ctr"/>
        <c:lblOffset val="100"/>
        <c:noMultiLvlLbl val="0"/>
      </c:catAx>
      <c:valAx>
        <c:axId val="6409251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23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r>
              <a:rPr lang="en-US"/>
              <a:t>Budget Deficit by Scenario ($M)</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endParaRPr lang="en-US"/>
        </a:p>
      </c:txPr>
    </c:title>
    <c:autoTitleDeleted val="0"/>
    <c:plotArea>
      <c:layout/>
      <c:barChart>
        <c:barDir val="col"/>
        <c:grouping val="clustered"/>
        <c:varyColors val="0"/>
        <c:ser>
          <c:idx val="0"/>
          <c:order val="0"/>
          <c:tx>
            <c:strRef>
              <c:f>'Scenario Analysis'!$A$38</c:f>
              <c:strCache>
                <c:ptCount val="1"/>
                <c:pt idx="0">
                  <c:v>Deficit ($M)</c:v>
                </c:pt>
              </c:strCache>
            </c:strRef>
          </c:tx>
          <c:spPr>
            <a:solidFill>
              <a:srgbClr val="C00000"/>
            </a:solidFill>
            <a:ln>
              <a:noFill/>
            </a:ln>
            <a:effectLst/>
          </c:spPr>
          <c:invertIfNegative val="0"/>
          <c:cat>
            <c:strRef>
              <c:f>'Scenario Analysis'!$B$37:$F$37</c:f>
              <c:strCache>
                <c:ptCount val="5"/>
                <c:pt idx="0">
                  <c:v>Stress</c:v>
                </c:pt>
                <c:pt idx="1">
                  <c:v>Bear</c:v>
                </c:pt>
                <c:pt idx="2">
                  <c:v>Moderate</c:v>
                </c:pt>
                <c:pt idx="3">
                  <c:v>Adopted (Base)</c:v>
                </c:pt>
                <c:pt idx="4">
                  <c:v>Bull</c:v>
                </c:pt>
              </c:strCache>
            </c:strRef>
          </c:cat>
          <c:val>
            <c:numRef>
              <c:f>'Scenario Analysis'!$B$38:$F$38</c:f>
              <c:numCache>
                <c:formatCode>"$"#,##0;\("$"#,##0\);"-"</c:formatCode>
                <c:ptCount val="5"/>
                <c:pt idx="0">
                  <c:v>-227.86733306666659</c:v>
                </c:pt>
                <c:pt idx="1">
                  <c:v>-199.58342876190471</c:v>
                </c:pt>
                <c:pt idx="2">
                  <c:v>-171.29952445714284</c:v>
                </c:pt>
                <c:pt idx="3">
                  <c:v>-128.87366800000001</c:v>
                </c:pt>
                <c:pt idx="4">
                  <c:v>-86.447811542856925</c:v>
                </c:pt>
              </c:numCache>
            </c:numRef>
          </c:val>
          <c:extLst>
            <c:ext xmlns:c16="http://schemas.microsoft.com/office/drawing/2014/chart" uri="{C3380CC4-5D6E-409C-BE32-E72D297353CC}">
              <c16:uniqueId val="{00000000-2084-D242-B0A3-BE206EC5CEEC}"/>
            </c:ext>
          </c:extLst>
        </c:ser>
        <c:dLbls>
          <c:showLegendKey val="0"/>
          <c:showVal val="0"/>
          <c:showCatName val="0"/>
          <c:showSerName val="0"/>
          <c:showPercent val="0"/>
          <c:showBubbleSize val="0"/>
        </c:dLbls>
        <c:gapWidth val="219"/>
        <c:overlap val="-27"/>
        <c:axId val="1922564576"/>
        <c:axId val="2012509424"/>
      </c:barChart>
      <c:catAx>
        <c:axId val="19225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09424"/>
        <c:crosses val="autoZero"/>
        <c:auto val="1"/>
        <c:lblAlgn val="ctr"/>
        <c:lblOffset val="100"/>
        <c:noMultiLvlLbl val="0"/>
      </c:catAx>
      <c:valAx>
        <c:axId val="201250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Deficit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6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r>
              <a:rPr lang="en-US"/>
              <a:t>Revenue Coverage Ratio (Rev / Exp)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3366"/>
              </a:solidFill>
              <a:latin typeface="+mn-lt"/>
              <a:ea typeface="+mn-ea"/>
              <a:cs typeface="+mn-cs"/>
            </a:defRPr>
          </a:pPr>
          <a:endParaRPr lang="en-US"/>
        </a:p>
      </c:txPr>
    </c:title>
    <c:autoTitleDeleted val="0"/>
    <c:plotArea>
      <c:layout/>
      <c:barChart>
        <c:barDir val="col"/>
        <c:grouping val="clustered"/>
        <c:varyColors val="0"/>
        <c:ser>
          <c:idx val="0"/>
          <c:order val="0"/>
          <c:tx>
            <c:v>Coverage Ratio</c:v>
          </c:tx>
          <c:spPr>
            <a:solidFill>
              <a:srgbClr val="003366"/>
            </a:solidFill>
            <a:ln>
              <a:noFill/>
            </a:ln>
            <a:effectLst/>
          </c:spPr>
          <c:invertIfNegative val="0"/>
          <c:dLbls>
            <c:numFmt formatCode="0.00\x"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 Analysis'!$B$37:$F$37</c:f>
              <c:strCache>
                <c:ptCount val="5"/>
                <c:pt idx="0">
                  <c:v>Stress</c:v>
                </c:pt>
                <c:pt idx="1">
                  <c:v>Bear</c:v>
                </c:pt>
                <c:pt idx="2">
                  <c:v>Moderate</c:v>
                </c:pt>
                <c:pt idx="3">
                  <c:v>Adopted (Base)</c:v>
                </c:pt>
                <c:pt idx="4">
                  <c:v>Bull</c:v>
                </c:pt>
              </c:strCache>
            </c:strRef>
          </c:cat>
          <c:val>
            <c:numRef>
              <c:f>'Scenario Analysis'!$B$39:$F$39</c:f>
              <c:numCache>
                <c:formatCode>General</c:formatCode>
                <c:ptCount val="5"/>
                <c:pt idx="0">
                  <c:v>0.87902332854873588</c:v>
                </c:pt>
                <c:pt idx="1">
                  <c:v>0.89403948971754676</c:v>
                </c:pt>
                <c:pt idx="2">
                  <c:v>0.90905565088635765</c:v>
                </c:pt>
                <c:pt idx="3">
                  <c:v>0.93157989263957397</c:v>
                </c:pt>
                <c:pt idx="4">
                  <c:v>0.9541041343927904</c:v>
                </c:pt>
              </c:numCache>
            </c:numRef>
          </c:val>
          <c:extLst>
            <c:ext xmlns:c16="http://schemas.microsoft.com/office/drawing/2014/chart" uri="{C3380CC4-5D6E-409C-BE32-E72D297353CC}">
              <c16:uniqueId val="{00000001-2B44-424F-A4C7-F9F3A7742CB7}"/>
            </c:ext>
          </c:extLst>
        </c:ser>
        <c:dLbls>
          <c:showLegendKey val="0"/>
          <c:showVal val="0"/>
          <c:showCatName val="0"/>
          <c:showSerName val="0"/>
          <c:showPercent val="0"/>
          <c:showBubbleSize val="0"/>
        </c:dLbls>
        <c:gapWidth val="219"/>
        <c:overlap val="-27"/>
        <c:axId val="641837280"/>
        <c:axId val="641839008"/>
      </c:barChart>
      <c:catAx>
        <c:axId val="64183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39008"/>
        <c:crosses val="autoZero"/>
        <c:auto val="1"/>
        <c:lblAlgn val="ctr"/>
        <c:lblOffset val="100"/>
        <c:noMultiLvlLbl val="0"/>
      </c:catAx>
      <c:valAx>
        <c:axId val="641839008"/>
        <c:scaling>
          <c:orientation val="minMax"/>
          <c:max val="1"/>
          <c:min val="0.8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Coverage (1.0 = balanced)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3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6</xdr:col>
      <xdr:colOff>0</xdr:colOff>
      <xdr:row>58</xdr:row>
      <xdr:rowOff>0</xdr:rowOff>
    </xdr:to>
    <xdr:graphicFrame macro="">
      <xdr:nvGraphicFramePr>
        <xdr:cNvPr id="2" name="Chart 1">
          <a:extLst>
            <a:ext uri="{FF2B5EF4-FFF2-40B4-BE49-F238E27FC236}">
              <a16:creationId xmlns:a16="http://schemas.microsoft.com/office/drawing/2014/main" id="{892358A8-588C-E380-D6FD-8C4448366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36</xdr:row>
      <xdr:rowOff>0</xdr:rowOff>
    </xdr:from>
    <xdr:to>
      <xdr:col>8</xdr:col>
      <xdr:colOff>0</xdr:colOff>
      <xdr:row>55</xdr:row>
      <xdr:rowOff>0</xdr:rowOff>
    </xdr:to>
    <xdr:graphicFrame macro="">
      <xdr:nvGraphicFramePr>
        <xdr:cNvPr id="2" name="Chart 1">
          <a:extLst>
            <a:ext uri="{FF2B5EF4-FFF2-40B4-BE49-F238E27FC236}">
              <a16:creationId xmlns:a16="http://schemas.microsoft.com/office/drawing/2014/main" id="{2929F577-594D-88A2-0FBE-44E405F54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0</xdr:rowOff>
    </xdr:from>
    <xdr:to>
      <xdr:col>6</xdr:col>
      <xdr:colOff>0</xdr:colOff>
      <xdr:row>38</xdr:row>
      <xdr:rowOff>0</xdr:rowOff>
    </xdr:to>
    <xdr:graphicFrame macro="">
      <xdr:nvGraphicFramePr>
        <xdr:cNvPr id="2" name="Chart 1">
          <a:extLst>
            <a:ext uri="{FF2B5EF4-FFF2-40B4-BE49-F238E27FC236}">
              <a16:creationId xmlns:a16="http://schemas.microsoft.com/office/drawing/2014/main" id="{6D5C8A5C-CA94-C158-9080-9C744D3A5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xdr:row>
      <xdr:rowOff>0</xdr:rowOff>
    </xdr:from>
    <xdr:to>
      <xdr:col>16</xdr:col>
      <xdr:colOff>0</xdr:colOff>
      <xdr:row>18</xdr:row>
      <xdr:rowOff>0</xdr:rowOff>
    </xdr:to>
    <xdr:graphicFrame macro="">
      <xdr:nvGraphicFramePr>
        <xdr:cNvPr id="2" name="Chart 1">
          <a:extLst>
            <a:ext uri="{FF2B5EF4-FFF2-40B4-BE49-F238E27FC236}">
              <a16:creationId xmlns:a16="http://schemas.microsoft.com/office/drawing/2014/main" id="{BB7D50FD-8991-9687-B01B-8F432DED0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19</xdr:row>
      <xdr:rowOff>0</xdr:rowOff>
    </xdr:from>
    <xdr:to>
      <xdr:col>16</xdr:col>
      <xdr:colOff>0</xdr:colOff>
      <xdr:row>36</xdr:row>
      <xdr:rowOff>0</xdr:rowOff>
    </xdr:to>
    <xdr:graphicFrame macro="">
      <xdr:nvGraphicFramePr>
        <xdr:cNvPr id="4" name="Chart 3">
          <a:extLst>
            <a:ext uri="{FF2B5EF4-FFF2-40B4-BE49-F238E27FC236}">
              <a16:creationId xmlns:a16="http://schemas.microsoft.com/office/drawing/2014/main" id="{2AAF09E2-3835-88E6-93F1-E58E89D45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E8DFEE-3F9C-6146-AFB1-2BFFD9DE25F7}">
  <we:reference id="wa200009404" version="1.0.0.8" store="en-US" storeType="OMEX"/>
  <we:alternateReferences>
    <we:reference id="wa200009404" version="1.0.0.8" store="en-US" storeType="OMEX"/>
  </we:alternateReferences>
  <we:properties>
    <we:property name="claude.fileId" value="&quot;f7ec507f-cb67-4cb4-b17d-cf5d125e2ee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EA7A-D243-DB4E-B634-BDA4BD442AF5}">
  <dimension ref="A1:E39"/>
  <sheetViews>
    <sheetView topLeftCell="A3" workbookViewId="0">
      <selection activeCell="E32" sqref="E32"/>
    </sheetView>
  </sheetViews>
  <sheetFormatPr baseColWidth="10" defaultRowHeight="16" x14ac:dyDescent="0.2"/>
  <cols>
    <col min="1" max="1" width="38.33203125" customWidth="1"/>
    <col min="2" max="5" width="22.5" customWidth="1"/>
  </cols>
  <sheetData>
    <row r="1" spans="1:5" ht="19" x14ac:dyDescent="0.25">
      <c r="A1" s="1" t="s">
        <v>0</v>
      </c>
    </row>
    <row r="2" spans="1:5" x14ac:dyDescent="0.2">
      <c r="A2" s="2" t="s">
        <v>1</v>
      </c>
    </row>
    <row r="3" spans="1:5" x14ac:dyDescent="0.2">
      <c r="A3" s="3" t="s">
        <v>2</v>
      </c>
    </row>
    <row r="5" spans="1:5" x14ac:dyDescent="0.2">
      <c r="A5" s="4" t="s">
        <v>3</v>
      </c>
      <c r="B5" s="5" t="s">
        <v>4</v>
      </c>
      <c r="C5" s="5" t="s">
        <v>5</v>
      </c>
      <c r="D5" s="5" t="s">
        <v>6</v>
      </c>
      <c r="E5" s="5" t="s">
        <v>7</v>
      </c>
    </row>
    <row r="6" spans="1:5" x14ac:dyDescent="0.2">
      <c r="A6" s="6" t="s">
        <v>8</v>
      </c>
      <c r="B6" s="7">
        <v>1540524976</v>
      </c>
      <c r="C6" s="7">
        <v>2145000</v>
      </c>
      <c r="D6" s="7">
        <v>470620085</v>
      </c>
      <c r="E6" s="9">
        <f>SUM(B6:D6)</f>
        <v>2013290061</v>
      </c>
    </row>
    <row r="7" spans="1:5" x14ac:dyDescent="0.2">
      <c r="A7" s="6" t="s">
        <v>9</v>
      </c>
      <c r="B7" s="7">
        <v>166516511</v>
      </c>
      <c r="C7" s="7">
        <v>401681</v>
      </c>
      <c r="D7" s="10">
        <v>0</v>
      </c>
      <c r="E7" s="9">
        <f>SUM(B7:D7)</f>
        <v>166918192</v>
      </c>
    </row>
    <row r="8" spans="1:5" x14ac:dyDescent="0.2">
      <c r="A8" s="6" t="s">
        <v>10</v>
      </c>
      <c r="B8" s="7">
        <v>47649092</v>
      </c>
      <c r="C8" s="7">
        <v>115950525</v>
      </c>
      <c r="D8" s="10">
        <v>0</v>
      </c>
      <c r="E8" s="9">
        <f>SUM(B8:D8)</f>
        <v>163599617</v>
      </c>
    </row>
    <row r="9" spans="1:5" x14ac:dyDescent="0.2">
      <c r="A9" s="11" t="s">
        <v>11</v>
      </c>
      <c r="B9" s="13">
        <f>SUM(B6:B8)</f>
        <v>1754690579</v>
      </c>
      <c r="C9" s="13">
        <f>SUM(C6:C8)</f>
        <v>118497206</v>
      </c>
      <c r="D9" s="13">
        <f>SUM(D6:D8)</f>
        <v>470620085</v>
      </c>
      <c r="E9" s="13">
        <f>SUM(E6:E8)</f>
        <v>2343807870</v>
      </c>
    </row>
    <row r="11" spans="1:5" x14ac:dyDescent="0.2">
      <c r="A11" s="4" t="s">
        <v>12</v>
      </c>
      <c r="B11" s="5" t="s">
        <v>4</v>
      </c>
      <c r="C11" s="5" t="s">
        <v>5</v>
      </c>
      <c r="D11" s="5" t="s">
        <v>6</v>
      </c>
      <c r="E11" s="5" t="s">
        <v>7</v>
      </c>
    </row>
    <row r="12" spans="1:5" x14ac:dyDescent="0.2">
      <c r="A12" t="s">
        <v>13</v>
      </c>
      <c r="B12" s="14">
        <v>969692104</v>
      </c>
      <c r="C12" s="15">
        <v>0</v>
      </c>
      <c r="D12" s="15">
        <v>0</v>
      </c>
      <c r="E12" s="9">
        <f>SUM(B12:D12)</f>
        <v>969692104</v>
      </c>
    </row>
    <row r="13" spans="1:5" x14ac:dyDescent="0.2">
      <c r="A13" t="s">
        <v>14</v>
      </c>
      <c r="B13" s="14">
        <v>21660742</v>
      </c>
      <c r="C13" s="15">
        <v>0</v>
      </c>
      <c r="D13" s="15">
        <v>0</v>
      </c>
      <c r="E13" s="9">
        <f>SUM(B13:D13)</f>
        <v>21660742</v>
      </c>
    </row>
    <row r="14" spans="1:5" x14ac:dyDescent="0.2">
      <c r="A14" t="s">
        <v>15</v>
      </c>
      <c r="B14" s="14">
        <v>25851429</v>
      </c>
      <c r="C14" s="15">
        <v>0</v>
      </c>
      <c r="D14" s="15">
        <v>0</v>
      </c>
      <c r="E14" s="9">
        <f>SUM(B14:D14)</f>
        <v>25851429</v>
      </c>
    </row>
    <row r="15" spans="1:5" x14ac:dyDescent="0.2">
      <c r="A15" t="s">
        <v>16</v>
      </c>
      <c r="B15" s="14">
        <v>59516464</v>
      </c>
      <c r="C15" s="15">
        <v>0</v>
      </c>
      <c r="D15" s="15">
        <v>0</v>
      </c>
      <c r="E15" s="9">
        <f>SUM(B15:D15)</f>
        <v>59516464</v>
      </c>
    </row>
    <row r="16" spans="1:5" x14ac:dyDescent="0.2">
      <c r="A16" t="s">
        <v>17</v>
      </c>
      <c r="B16" s="14">
        <v>111907131</v>
      </c>
      <c r="C16" s="15">
        <v>0</v>
      </c>
      <c r="D16" s="15">
        <v>0</v>
      </c>
      <c r="E16" s="9">
        <f>SUM(B16:D16)</f>
        <v>111907131</v>
      </c>
    </row>
    <row r="17" spans="1:5" x14ac:dyDescent="0.2">
      <c r="A17" t="s">
        <v>18</v>
      </c>
      <c r="B17" s="14">
        <v>83833847</v>
      </c>
      <c r="C17" s="15">
        <v>0</v>
      </c>
      <c r="D17" s="15">
        <v>0</v>
      </c>
      <c r="E17" s="9">
        <f>SUM(B17:D17)</f>
        <v>83833847</v>
      </c>
    </row>
    <row r="18" spans="1:5" x14ac:dyDescent="0.2">
      <c r="A18" t="s">
        <v>19</v>
      </c>
      <c r="B18" s="14">
        <v>5523445</v>
      </c>
      <c r="C18" s="15">
        <v>0</v>
      </c>
      <c r="D18" s="15">
        <v>0</v>
      </c>
      <c r="E18" s="9">
        <f>SUM(B18:D18)</f>
        <v>5523445</v>
      </c>
    </row>
    <row r="19" spans="1:5" x14ac:dyDescent="0.2">
      <c r="A19" t="s">
        <v>20</v>
      </c>
      <c r="B19" s="14">
        <v>25635510</v>
      </c>
      <c r="C19" s="15">
        <v>0</v>
      </c>
      <c r="D19" s="15">
        <v>0</v>
      </c>
      <c r="E19" s="9">
        <f>SUM(B19:D19)</f>
        <v>25635510</v>
      </c>
    </row>
    <row r="20" spans="1:5" x14ac:dyDescent="0.2">
      <c r="A20" t="s">
        <v>21</v>
      </c>
      <c r="B20" s="14">
        <v>66735396</v>
      </c>
      <c r="C20" s="15">
        <v>0</v>
      </c>
      <c r="D20" s="15">
        <v>0</v>
      </c>
      <c r="E20" s="9">
        <f>SUM(B20:D20)</f>
        <v>66735396</v>
      </c>
    </row>
    <row r="21" spans="1:5" x14ac:dyDescent="0.2">
      <c r="A21" t="s">
        <v>22</v>
      </c>
      <c r="B21" s="15">
        <v>0</v>
      </c>
      <c r="C21" s="14">
        <v>116612549</v>
      </c>
      <c r="D21" s="15">
        <v>0</v>
      </c>
      <c r="E21" s="19">
        <f>SUM(B21:D21)</f>
        <v>116612549</v>
      </c>
    </row>
    <row r="22" spans="1:5" x14ac:dyDescent="0.2">
      <c r="A22" t="s">
        <v>23</v>
      </c>
      <c r="B22" s="14">
        <v>44469857</v>
      </c>
      <c r="C22" s="15">
        <v>0</v>
      </c>
      <c r="D22" s="15">
        <v>0</v>
      </c>
      <c r="E22" s="9">
        <f>SUM(B22:D22)</f>
        <v>44469857</v>
      </c>
    </row>
    <row r="23" spans="1:5" x14ac:dyDescent="0.2">
      <c r="A23" t="s">
        <v>24</v>
      </c>
      <c r="B23" s="14">
        <v>58160756</v>
      </c>
      <c r="C23" s="15">
        <v>0</v>
      </c>
      <c r="D23" s="15">
        <v>0</v>
      </c>
      <c r="E23" s="9">
        <f>SUM(B23:D23)</f>
        <v>58160756</v>
      </c>
    </row>
    <row r="24" spans="1:5" x14ac:dyDescent="0.2">
      <c r="A24" t="s">
        <v>25</v>
      </c>
      <c r="B24" s="14">
        <v>199865471</v>
      </c>
      <c r="C24" s="14">
        <v>1874657</v>
      </c>
      <c r="D24" s="15">
        <v>0</v>
      </c>
      <c r="E24" s="9">
        <f>SUM(B24:D24)</f>
        <v>201740128</v>
      </c>
    </row>
    <row r="25" spans="1:5" x14ac:dyDescent="0.2">
      <c r="A25" t="s">
        <v>26</v>
      </c>
      <c r="B25" s="14">
        <v>43456239</v>
      </c>
      <c r="C25" s="15">
        <v>0</v>
      </c>
      <c r="D25" s="15">
        <v>0</v>
      </c>
      <c r="E25" s="9">
        <f>SUM(B25:D25)</f>
        <v>43456239</v>
      </c>
    </row>
    <row r="26" spans="1:5" x14ac:dyDescent="0.2">
      <c r="A26" t="s">
        <v>27</v>
      </c>
      <c r="B26" s="14">
        <v>38038645</v>
      </c>
      <c r="C26" s="15">
        <v>0</v>
      </c>
      <c r="D26" s="15">
        <v>0</v>
      </c>
      <c r="E26" s="9">
        <f>SUM(B26:D26)</f>
        <v>38038645</v>
      </c>
    </row>
    <row r="27" spans="1:5" x14ac:dyDescent="0.2">
      <c r="A27" t="s">
        <v>28</v>
      </c>
      <c r="B27" s="14">
        <v>5216133</v>
      </c>
      <c r="C27" s="15">
        <v>0</v>
      </c>
      <c r="D27" s="15">
        <v>0</v>
      </c>
      <c r="E27" s="9">
        <f>SUM(B27:D27)</f>
        <v>5216133</v>
      </c>
    </row>
    <row r="28" spans="1:5" x14ac:dyDescent="0.2">
      <c r="A28" t="s">
        <v>29</v>
      </c>
      <c r="B28" s="14">
        <v>12852237</v>
      </c>
      <c r="C28" s="14">
        <v>10000</v>
      </c>
      <c r="D28" s="14">
        <v>431158300</v>
      </c>
      <c r="E28" s="9">
        <f>SUM(B28:D28)</f>
        <v>444020537</v>
      </c>
    </row>
    <row r="29" spans="1:5" x14ac:dyDescent="0.2">
      <c r="A29" t="s">
        <v>30</v>
      </c>
      <c r="B29" s="14">
        <v>104000000</v>
      </c>
      <c r="C29" s="15">
        <v>0</v>
      </c>
      <c r="D29" s="15">
        <v>0</v>
      </c>
      <c r="E29" s="9">
        <f>SUM(B29:D29)</f>
        <v>104000000</v>
      </c>
    </row>
    <row r="30" spans="1:5" x14ac:dyDescent="0.2">
      <c r="A30" t="s">
        <v>31</v>
      </c>
      <c r="B30" s="14">
        <v>50000</v>
      </c>
      <c r="C30" s="15">
        <v>0</v>
      </c>
      <c r="D30" s="15">
        <v>0</v>
      </c>
      <c r="E30" s="9">
        <f>SUM(B30:D30)</f>
        <v>50000</v>
      </c>
    </row>
    <row r="31" spans="1:5" x14ac:dyDescent="0.2">
      <c r="A31" t="s">
        <v>32</v>
      </c>
      <c r="B31" s="14">
        <v>7098841</v>
      </c>
      <c r="C31" s="15">
        <v>0</v>
      </c>
      <c r="D31" s="15">
        <v>0</v>
      </c>
      <c r="E31" s="9">
        <f>SUM(B31:D31)</f>
        <v>7098841</v>
      </c>
    </row>
    <row r="32" spans="1:5" x14ac:dyDescent="0.2">
      <c r="A32" s="12" t="s">
        <v>33</v>
      </c>
      <c r="B32" s="13">
        <f>SUM(B12:B31)</f>
        <v>1883564247</v>
      </c>
      <c r="C32" s="13">
        <f>SUM(C12:C31)</f>
        <v>118497206</v>
      </c>
      <c r="D32" s="13">
        <f>SUM(D12:D31)</f>
        <v>431158300</v>
      </c>
      <c r="E32" s="13">
        <f>SUM(E12:E31)</f>
        <v>2433219753</v>
      </c>
    </row>
    <row r="34" spans="1:5" x14ac:dyDescent="0.2">
      <c r="A34" s="16" t="s">
        <v>34</v>
      </c>
      <c r="B34" s="18">
        <f>B9-B32</f>
        <v>-128873668</v>
      </c>
      <c r="C34" s="18">
        <f>C9-C32</f>
        <v>0</v>
      </c>
      <c r="D34" s="18">
        <f>D9-D32</f>
        <v>39461785</v>
      </c>
      <c r="E34" s="21">
        <f>E9-E32</f>
        <v>-89411883</v>
      </c>
    </row>
    <row r="36" spans="1:5" x14ac:dyDescent="0.2">
      <c r="A36" s="4" t="s">
        <v>35</v>
      </c>
      <c r="E36" s="4" t="s">
        <v>35</v>
      </c>
    </row>
    <row r="37" spans="1:5" x14ac:dyDescent="0.2">
      <c r="A37" s="6" t="s">
        <v>36</v>
      </c>
      <c r="B37" s="10">
        <v>0</v>
      </c>
      <c r="C37" s="10">
        <v>0</v>
      </c>
      <c r="D37" s="7">
        <v>7167000</v>
      </c>
      <c r="E37" s="22">
        <f>SUM(B37:D37)</f>
        <v>7167000</v>
      </c>
    </row>
    <row r="38" spans="1:5" x14ac:dyDescent="0.2">
      <c r="A38" t="s">
        <v>37</v>
      </c>
      <c r="B38" s="7">
        <v>7167000</v>
      </c>
      <c r="C38" s="15">
        <v>0</v>
      </c>
      <c r="D38" s="15">
        <v>0</v>
      </c>
      <c r="E38" s="19">
        <f>SUM(B38:D38)</f>
        <v>7167000</v>
      </c>
    </row>
    <row r="39" spans="1:5" x14ac:dyDescent="0.2">
      <c r="A39" s="12" t="s">
        <v>38</v>
      </c>
      <c r="B39" s="20">
        <f>B37-B38</f>
        <v>-7167000</v>
      </c>
      <c r="C39" s="20">
        <f>C37-C38</f>
        <v>0</v>
      </c>
      <c r="D39" s="20">
        <f>D37-D38</f>
        <v>7167000</v>
      </c>
      <c r="E39" s="20">
        <f>E37-E38</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0B87-C355-124E-A361-94CFD450DFA6}">
  <dimension ref="A1:F38"/>
  <sheetViews>
    <sheetView topLeftCell="A19" workbookViewId="0">
      <selection activeCell="D38" sqref="D38"/>
    </sheetView>
  </sheetViews>
  <sheetFormatPr baseColWidth="10" defaultRowHeight="16" outlineLevelRow="1" x14ac:dyDescent="0.2"/>
  <cols>
    <col min="1" max="1" width="8.33203125" customWidth="1"/>
    <col min="2" max="2" width="38.33203125" customWidth="1"/>
    <col min="3" max="6" width="20" customWidth="1"/>
  </cols>
  <sheetData>
    <row r="1" spans="1:6" ht="18" x14ac:dyDescent="0.25">
      <c r="A1" s="23" t="s">
        <v>39</v>
      </c>
    </row>
    <row r="2" spans="1:6" x14ac:dyDescent="0.2">
      <c r="A2" s="3" t="s">
        <v>40</v>
      </c>
    </row>
    <row r="4" spans="1:6" x14ac:dyDescent="0.2">
      <c r="A4" s="24" t="s">
        <v>41</v>
      </c>
      <c r="B4" s="24" t="s">
        <v>42</v>
      </c>
      <c r="C4" s="25" t="s">
        <v>43</v>
      </c>
      <c r="D4" s="25" t="s">
        <v>44</v>
      </c>
      <c r="E4" s="25" t="s">
        <v>45</v>
      </c>
      <c r="F4" s="25" t="s">
        <v>46</v>
      </c>
    </row>
    <row r="5" spans="1:6" x14ac:dyDescent="0.2">
      <c r="A5" s="12"/>
      <c r="B5" s="12" t="s">
        <v>47</v>
      </c>
    </row>
    <row r="6" spans="1:6" x14ac:dyDescent="0.2">
      <c r="A6">
        <v>5711</v>
      </c>
      <c r="B6" t="s">
        <v>48</v>
      </c>
      <c r="C6" s="7">
        <v>1352676224</v>
      </c>
      <c r="D6" s="7">
        <v>1484904976</v>
      </c>
      <c r="E6" s="15">
        <f>D6-C6</f>
        <v>132228752</v>
      </c>
      <c r="F6" s="29">
        <f>IF(C6=0,"-",E6/C6)</f>
        <v>9.7753438445887852E-2</v>
      </c>
    </row>
    <row r="7" spans="1:6" x14ac:dyDescent="0.2">
      <c r="A7">
        <v>5712</v>
      </c>
      <c r="B7" t="s">
        <v>49</v>
      </c>
      <c r="C7" s="7">
        <v>4000000</v>
      </c>
      <c r="D7" s="10">
        <v>0</v>
      </c>
      <c r="E7" s="15">
        <f>D7-C7</f>
        <v>-4000000</v>
      </c>
      <c r="F7" s="29">
        <f>IF(C7=0,"-",E7/C7)</f>
        <v>-1</v>
      </c>
    </row>
    <row r="8" spans="1:6" x14ac:dyDescent="0.2">
      <c r="A8">
        <v>5719</v>
      </c>
      <c r="B8" t="s">
        <v>50</v>
      </c>
      <c r="C8" s="7">
        <v>10000000</v>
      </c>
      <c r="D8" s="7">
        <v>10000000</v>
      </c>
      <c r="E8" s="15">
        <f>D8-C8</f>
        <v>0</v>
      </c>
      <c r="F8" s="29">
        <f>IF(C8=0,"-",E8/C8)</f>
        <v>0</v>
      </c>
    </row>
    <row r="9" spans="1:6" x14ac:dyDescent="0.2">
      <c r="A9">
        <v>5739</v>
      </c>
      <c r="B9" t="s">
        <v>51</v>
      </c>
      <c r="C9" s="7">
        <v>500000</v>
      </c>
      <c r="D9" s="7">
        <v>500000</v>
      </c>
      <c r="E9" s="15">
        <f>D9-C9</f>
        <v>0</v>
      </c>
      <c r="F9" s="29">
        <f>IF(C9=0,"-",E9/C9)</f>
        <v>0</v>
      </c>
    </row>
    <row r="10" spans="1:6" x14ac:dyDescent="0.2">
      <c r="A10">
        <v>5742</v>
      </c>
      <c r="B10" t="s">
        <v>52</v>
      </c>
      <c r="C10" s="7">
        <v>44000000</v>
      </c>
      <c r="D10" s="7">
        <v>40000000</v>
      </c>
      <c r="E10" s="15">
        <f>D10-C10</f>
        <v>-4000000</v>
      </c>
      <c r="F10" s="29">
        <f>IF(C10=0,"-",E10/C10)</f>
        <v>-9.0909090909090912E-2</v>
      </c>
    </row>
    <row r="11" spans="1:6" x14ac:dyDescent="0.2">
      <c r="A11">
        <v>5743</v>
      </c>
      <c r="B11" t="s">
        <v>53</v>
      </c>
      <c r="C11" s="7">
        <v>1100000</v>
      </c>
      <c r="D11" s="7">
        <v>1100000</v>
      </c>
      <c r="E11" s="15">
        <f>D11-C11</f>
        <v>0</v>
      </c>
      <c r="F11" s="29">
        <f>IF(C11=0,"-",E11/C11)</f>
        <v>0</v>
      </c>
    </row>
    <row r="12" spans="1:6" x14ac:dyDescent="0.2">
      <c r="A12">
        <v>5744</v>
      </c>
      <c r="B12" t="s">
        <v>54</v>
      </c>
      <c r="C12" s="7">
        <v>20000</v>
      </c>
      <c r="D12" s="7">
        <v>20000</v>
      </c>
      <c r="E12" s="15">
        <f>D12-C12</f>
        <v>0</v>
      </c>
      <c r="F12" s="29">
        <f>IF(C12=0,"-",E12/C12)</f>
        <v>0</v>
      </c>
    </row>
    <row r="13" spans="1:6" x14ac:dyDescent="0.2">
      <c r="A13">
        <v>5749</v>
      </c>
      <c r="B13" t="s">
        <v>55</v>
      </c>
      <c r="C13" s="7">
        <v>3000000</v>
      </c>
      <c r="D13" s="7">
        <v>3000000</v>
      </c>
      <c r="E13" s="15">
        <f>D13-C13</f>
        <v>0</v>
      </c>
      <c r="F13" s="29">
        <f>IF(C13=0,"-",E13/C13)</f>
        <v>0</v>
      </c>
    </row>
    <row r="14" spans="1:6" x14ac:dyDescent="0.2">
      <c r="A14">
        <v>5752</v>
      </c>
      <c r="B14" t="s">
        <v>56</v>
      </c>
      <c r="C14" s="7">
        <v>1000000</v>
      </c>
      <c r="D14" s="7">
        <v>1000000</v>
      </c>
      <c r="E14" s="15">
        <f>D14-C14</f>
        <v>0</v>
      </c>
      <c r="F14" s="29">
        <f>IF(C14=0,"-",E14/C14)</f>
        <v>0</v>
      </c>
    </row>
    <row r="15" spans="1:6" x14ac:dyDescent="0.2">
      <c r="A15" s="26"/>
      <c r="B15" s="26" t="s">
        <v>57</v>
      </c>
      <c r="C15" s="27">
        <f>SUM(C6:C14)</f>
        <v>1416296224</v>
      </c>
      <c r="D15" s="27">
        <f>SUM(D6:D14)</f>
        <v>1540524976</v>
      </c>
      <c r="E15" s="30">
        <f>D15-C15</f>
        <v>124228752</v>
      </c>
      <c r="F15" s="31">
        <f>IF(C15=0,"-",E15/C15)</f>
        <v>8.7713819958613409E-2</v>
      </c>
    </row>
    <row r="17" spans="1:6" x14ac:dyDescent="0.2">
      <c r="A17" s="12"/>
      <c r="B17" s="12" t="s">
        <v>58</v>
      </c>
    </row>
    <row r="18" spans="1:6" x14ac:dyDescent="0.2">
      <c r="A18">
        <v>5811</v>
      </c>
      <c r="B18" t="s">
        <v>59</v>
      </c>
      <c r="C18" s="7">
        <v>48893924</v>
      </c>
      <c r="D18" s="7">
        <v>49962838</v>
      </c>
      <c r="E18" s="15">
        <f>D18-C18</f>
        <v>1068914</v>
      </c>
      <c r="F18" s="29">
        <f>IF(C18=0,"-",E18/C18)</f>
        <v>2.1861898423206939E-2</v>
      </c>
    </row>
    <row r="19" spans="1:6" x14ac:dyDescent="0.2">
      <c r="A19">
        <v>5812</v>
      </c>
      <c r="B19" t="s">
        <v>60</v>
      </c>
      <c r="C19" s="7">
        <v>93504190</v>
      </c>
      <c r="D19" s="7">
        <v>32553673</v>
      </c>
      <c r="E19" s="15">
        <f>D19-C19</f>
        <v>-60950517</v>
      </c>
      <c r="F19" s="29">
        <f>IF(C19=0,"-",E19/C19)</f>
        <v>-0.65184797601048683</v>
      </c>
    </row>
    <row r="20" spans="1:6" x14ac:dyDescent="0.2">
      <c r="A20">
        <v>5831</v>
      </c>
      <c r="B20" t="s">
        <v>61</v>
      </c>
      <c r="C20" s="7">
        <v>80000000</v>
      </c>
      <c r="D20" s="7">
        <v>84000000</v>
      </c>
      <c r="E20" s="15">
        <f>D20-C20</f>
        <v>4000000</v>
      </c>
      <c r="F20" s="29">
        <f>IF(C20=0,"-",E20/C20)</f>
        <v>0.05</v>
      </c>
    </row>
    <row r="21" spans="1:6" x14ac:dyDescent="0.2">
      <c r="A21" s="26"/>
      <c r="B21" s="26" t="s">
        <v>62</v>
      </c>
      <c r="C21" s="27">
        <f>SUM(C18:C20)</f>
        <v>222398114</v>
      </c>
      <c r="D21" s="27">
        <f>SUM(D18:D20)</f>
        <v>166516511</v>
      </c>
      <c r="E21" s="30">
        <f>D21-C21</f>
        <v>-55881603</v>
      </c>
      <c r="F21" s="31">
        <f>IF(C21=0,"-",E21/C21)</f>
        <v>-0.25126833134924875</v>
      </c>
    </row>
    <row r="23" spans="1:6" x14ac:dyDescent="0.2">
      <c r="A23" s="12"/>
      <c r="B23" s="12" t="s">
        <v>63</v>
      </c>
    </row>
    <row r="24" spans="1:6" x14ac:dyDescent="0.2">
      <c r="A24">
        <v>5919</v>
      </c>
      <c r="B24" t="s">
        <v>64</v>
      </c>
      <c r="C24" s="7">
        <v>5000000</v>
      </c>
      <c r="D24" s="7">
        <v>5000000</v>
      </c>
      <c r="E24" s="15">
        <f>D24-C24</f>
        <v>0</v>
      </c>
      <c r="F24" s="29">
        <f>IF(C24=0,"-",E24/C24)</f>
        <v>0</v>
      </c>
    </row>
    <row r="25" spans="1:6" x14ac:dyDescent="0.2">
      <c r="A25">
        <v>5928</v>
      </c>
      <c r="B25" t="s">
        <v>65</v>
      </c>
      <c r="C25" s="7">
        <v>10000000</v>
      </c>
      <c r="D25" s="7">
        <v>10000000</v>
      </c>
      <c r="E25" s="15">
        <f>D25-C25</f>
        <v>0</v>
      </c>
      <c r="F25" s="29">
        <f>IF(C25=0,"-",E25/C25)</f>
        <v>0</v>
      </c>
    </row>
    <row r="26" spans="1:6" x14ac:dyDescent="0.2">
      <c r="A26">
        <v>5931</v>
      </c>
      <c r="B26" t="s">
        <v>66</v>
      </c>
      <c r="C26" s="7">
        <v>15000000</v>
      </c>
      <c r="D26" s="7">
        <v>6849092</v>
      </c>
      <c r="E26" s="15">
        <f>D26-C26</f>
        <v>-8150908</v>
      </c>
      <c r="F26" s="29">
        <f>IF(C26=0,"-",E26/C26)</f>
        <v>-0.54339386666666667</v>
      </c>
    </row>
    <row r="27" spans="1:6" x14ac:dyDescent="0.2">
      <c r="A27">
        <v>5939</v>
      </c>
      <c r="B27" t="s">
        <v>67</v>
      </c>
      <c r="C27" s="7">
        <v>800000</v>
      </c>
      <c r="D27" s="7">
        <v>800000</v>
      </c>
      <c r="E27" s="15">
        <f>D27-C27</f>
        <v>0</v>
      </c>
      <c r="F27" s="29">
        <f>IF(C27=0,"-",E27/C27)</f>
        <v>0</v>
      </c>
    </row>
    <row r="28" spans="1:6" x14ac:dyDescent="0.2">
      <c r="A28">
        <v>5949</v>
      </c>
      <c r="B28" t="s">
        <v>68</v>
      </c>
      <c r="C28" s="7">
        <v>25000000</v>
      </c>
      <c r="D28" s="7">
        <v>25000000</v>
      </c>
      <c r="E28" s="15">
        <f>D28-C28</f>
        <v>0</v>
      </c>
      <c r="F28" s="29">
        <f>IF(C28=0,"-",E28/C28)</f>
        <v>0</v>
      </c>
    </row>
    <row r="29" spans="1:6" x14ac:dyDescent="0.2">
      <c r="A29" s="26"/>
      <c r="B29" s="26" t="s">
        <v>69</v>
      </c>
      <c r="C29" s="27">
        <f>SUM(C24:C28)</f>
        <v>55800000</v>
      </c>
      <c r="D29" s="27">
        <f>SUM(D24:D28)</f>
        <v>47649092</v>
      </c>
      <c r="E29" s="30">
        <f>D29-C29</f>
        <v>-8150908</v>
      </c>
      <c r="F29" s="31">
        <f>IF(C29=0,"-",E29/C29)</f>
        <v>-0.14607362007168459</v>
      </c>
    </row>
    <row r="31" spans="1:6" x14ac:dyDescent="0.2">
      <c r="A31" s="28"/>
      <c r="B31" s="16" t="s">
        <v>70</v>
      </c>
      <c r="C31" s="17">
        <f>C15+C21+C29</f>
        <v>1694494338</v>
      </c>
      <c r="D31" s="17">
        <f>D15+D21+D29</f>
        <v>1754690579</v>
      </c>
      <c r="E31" s="18">
        <f>D31-C31</f>
        <v>60196241</v>
      </c>
      <c r="F31" s="32">
        <f>IF(C31=0,"-",E31/C31)</f>
        <v>3.5524604390858694E-2</v>
      </c>
    </row>
    <row r="34" spans="1:3" outlineLevel="1" x14ac:dyDescent="0.2">
      <c r="A34" s="86" t="s">
        <v>218</v>
      </c>
    </row>
    <row r="35" spans="1:3" outlineLevel="1" x14ac:dyDescent="0.2">
      <c r="A35" t="s">
        <v>223</v>
      </c>
      <c r="B35" t="s">
        <v>158</v>
      </c>
      <c r="C35" t="s">
        <v>159</v>
      </c>
    </row>
    <row r="36" spans="1:3" outlineLevel="1" x14ac:dyDescent="0.2">
      <c r="A36" t="s">
        <v>8</v>
      </c>
      <c r="B36">
        <f>C15</f>
        <v>1416296224</v>
      </c>
      <c r="C36">
        <f>D15</f>
        <v>1540524976</v>
      </c>
    </row>
    <row r="37" spans="1:3" outlineLevel="1" x14ac:dyDescent="0.2">
      <c r="A37" t="s">
        <v>9</v>
      </c>
      <c r="B37">
        <f>C21</f>
        <v>222398114</v>
      </c>
      <c r="C37">
        <f>D21</f>
        <v>166516511</v>
      </c>
    </row>
    <row r="38" spans="1:3" outlineLevel="1" x14ac:dyDescent="0.2">
      <c r="A38" t="s">
        <v>10</v>
      </c>
      <c r="B38">
        <f>C29</f>
        <v>55800000</v>
      </c>
      <c r="C38">
        <f>D29</f>
        <v>47649092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447D7-8C16-D047-8050-5E3E0F13783E}">
  <dimension ref="A1:H34"/>
  <sheetViews>
    <sheetView topLeftCell="A20" workbookViewId="0">
      <selection activeCell="E31" sqref="E31"/>
    </sheetView>
  </sheetViews>
  <sheetFormatPr baseColWidth="10" defaultRowHeight="16" x14ac:dyDescent="0.2"/>
  <cols>
    <col min="1" max="1" width="8.33203125" customWidth="1"/>
    <col min="2" max="2" width="38.33203125" customWidth="1"/>
    <col min="3" max="8" width="20" customWidth="1"/>
  </cols>
  <sheetData>
    <row r="1" spans="1:8" ht="18" x14ac:dyDescent="0.25">
      <c r="A1" s="23" t="s">
        <v>71</v>
      </c>
    </row>
    <row r="2" spans="1:8" x14ac:dyDescent="0.2">
      <c r="A2" s="3" t="s">
        <v>72</v>
      </c>
    </row>
    <row r="4" spans="1:8" x14ac:dyDescent="0.2">
      <c r="A4" s="24" t="s">
        <v>73</v>
      </c>
      <c r="B4" s="24" t="s">
        <v>42</v>
      </c>
      <c r="C4" s="25" t="s">
        <v>74</v>
      </c>
      <c r="D4" s="25" t="s">
        <v>43</v>
      </c>
      <c r="E4" s="25" t="s">
        <v>44</v>
      </c>
      <c r="F4" s="25" t="s">
        <v>75</v>
      </c>
      <c r="G4" s="25" t="s">
        <v>46</v>
      </c>
      <c r="H4" s="25" t="s">
        <v>76</v>
      </c>
    </row>
    <row r="5" spans="1:8" x14ac:dyDescent="0.2">
      <c r="A5">
        <v>11</v>
      </c>
      <c r="B5" t="s">
        <v>77</v>
      </c>
      <c r="C5" s="7">
        <v>905070799</v>
      </c>
      <c r="D5" s="7">
        <v>985740474</v>
      </c>
      <c r="E5" s="7">
        <v>969692104</v>
      </c>
      <c r="F5" s="15">
        <f>E5-D5</f>
        <v>-16048370</v>
      </c>
      <c r="G5" s="29">
        <f>IF(D5=0,"-",F5/D5)</f>
        <v>-1.6280522534372469E-2</v>
      </c>
      <c r="H5" s="33">
        <f>E5/E$24</f>
        <v>0.51481764189591772</v>
      </c>
    </row>
    <row r="6" spans="1:8" x14ac:dyDescent="0.2">
      <c r="A6">
        <v>12</v>
      </c>
      <c r="B6" t="s">
        <v>78</v>
      </c>
      <c r="C6" s="7">
        <v>14457874</v>
      </c>
      <c r="D6" s="7">
        <v>22525597</v>
      </c>
      <c r="E6" s="7">
        <v>21660742</v>
      </c>
      <c r="F6" s="15">
        <f>E6-D6</f>
        <v>-864855</v>
      </c>
      <c r="G6" s="29">
        <f>IF(D6=0,"-",F6/D6)</f>
        <v>-3.8394320914113843E-2</v>
      </c>
      <c r="H6" s="33">
        <f>E6/E$24</f>
        <v>1.1499868950315661E-2</v>
      </c>
    </row>
    <row r="7" spans="1:8" x14ac:dyDescent="0.2">
      <c r="A7">
        <v>13</v>
      </c>
      <c r="B7" t="s">
        <v>79</v>
      </c>
      <c r="C7" s="7">
        <v>24775990</v>
      </c>
      <c r="D7" s="7">
        <v>30607293</v>
      </c>
      <c r="E7" s="7">
        <v>25851429</v>
      </c>
      <c r="F7" s="15">
        <f>E7-D7</f>
        <v>-4755864</v>
      </c>
      <c r="G7" s="29">
        <f>IF(D7=0,"-",F7/D7)</f>
        <v>-0.15538335912293844</v>
      </c>
      <c r="H7" s="33">
        <f>E7/E$24</f>
        <v>1.3724739700901744E-2</v>
      </c>
    </row>
    <row r="8" spans="1:8" x14ac:dyDescent="0.2">
      <c r="A8">
        <v>21</v>
      </c>
      <c r="B8" t="s">
        <v>80</v>
      </c>
      <c r="C8" s="7">
        <v>48668763</v>
      </c>
      <c r="D8" s="7">
        <v>55827435</v>
      </c>
      <c r="E8" s="7">
        <v>59516464</v>
      </c>
      <c r="F8" s="15">
        <f>E8-D8</f>
        <v>3689029</v>
      </c>
      <c r="G8" s="29">
        <f>IF(D8=0,"-",F8/D8)</f>
        <v>6.6079141912932238E-2</v>
      </c>
      <c r="H8" s="33">
        <f>E8/E$24</f>
        <v>3.1597788126841629E-2</v>
      </c>
    </row>
    <row r="9" spans="1:8" x14ac:dyDescent="0.2">
      <c r="A9">
        <v>23</v>
      </c>
      <c r="B9" t="s">
        <v>81</v>
      </c>
      <c r="C9" s="7">
        <v>118505082</v>
      </c>
      <c r="D9" s="7">
        <v>114763940</v>
      </c>
      <c r="E9" s="7">
        <v>111907131</v>
      </c>
      <c r="F9" s="15">
        <f>E9-D9</f>
        <v>-2856809</v>
      </c>
      <c r="G9" s="29">
        <f>IF(D9=0,"-",F9/D9)</f>
        <v>-2.4892914969632446E-2</v>
      </c>
      <c r="H9" s="33">
        <f>E9/E$24</f>
        <v>5.9412431074882255E-2</v>
      </c>
    </row>
    <row r="10" spans="1:8" x14ac:dyDescent="0.2">
      <c r="A10">
        <v>31</v>
      </c>
      <c r="B10" t="s">
        <v>82</v>
      </c>
      <c r="C10" s="7">
        <v>66917348</v>
      </c>
      <c r="D10" s="7">
        <v>88710080</v>
      </c>
      <c r="E10" s="7">
        <v>83833847</v>
      </c>
      <c r="F10" s="15">
        <f>E10-D10</f>
        <v>-4876233</v>
      </c>
      <c r="G10" s="29">
        <f>IF(D10=0,"-",F10/D10)</f>
        <v>-5.4968195271608365E-2</v>
      </c>
      <c r="H10" s="33">
        <f>E10/E$24</f>
        <v>4.4508089986059284E-2</v>
      </c>
    </row>
    <row r="11" spans="1:8" x14ac:dyDescent="0.2">
      <c r="A11">
        <v>32</v>
      </c>
      <c r="B11" t="s">
        <v>83</v>
      </c>
      <c r="C11" s="7">
        <v>1093837</v>
      </c>
      <c r="D11" s="7">
        <v>5606277</v>
      </c>
      <c r="E11" s="7">
        <v>5523445</v>
      </c>
      <c r="F11" s="15">
        <f>E11-D11</f>
        <v>-82832</v>
      </c>
      <c r="G11" s="29">
        <f>IF(D11=0,"-",F11/D11)</f>
        <v>-1.477486752795126E-2</v>
      </c>
      <c r="H11" s="33">
        <f>E11/E$24</f>
        <v>2.9324431108720232E-3</v>
      </c>
    </row>
    <row r="12" spans="1:8" x14ac:dyDescent="0.2">
      <c r="A12">
        <v>33</v>
      </c>
      <c r="B12" t="s">
        <v>84</v>
      </c>
      <c r="C12" s="7">
        <v>22761006</v>
      </c>
      <c r="D12" s="7">
        <v>25799353</v>
      </c>
      <c r="E12" s="7">
        <v>25635510</v>
      </c>
      <c r="F12" s="15">
        <f>E12-D12</f>
        <v>-163843</v>
      </c>
      <c r="G12" s="29">
        <f>IF(D12=0,"-",F12/D12)</f>
        <v>-6.3506631348468311E-3</v>
      </c>
      <c r="H12" s="33">
        <f>E12/E$24</f>
        <v>1.3610106499329831E-2</v>
      </c>
    </row>
    <row r="13" spans="1:8" x14ac:dyDescent="0.2">
      <c r="A13">
        <v>34</v>
      </c>
      <c r="B13" t="s">
        <v>85</v>
      </c>
      <c r="C13" s="7">
        <v>72215397</v>
      </c>
      <c r="D13" s="7">
        <v>69768036</v>
      </c>
      <c r="E13" s="7">
        <v>66735396</v>
      </c>
      <c r="F13" s="15">
        <f>E13-D13</f>
        <v>-3032640</v>
      </c>
      <c r="G13" s="29">
        <f>IF(D13=0,"-",F13/D13)</f>
        <v>-4.3467469831026916E-2</v>
      </c>
      <c r="H13" s="33">
        <f>E13/E$24</f>
        <v>3.5430379455487722E-2</v>
      </c>
    </row>
    <row r="14" spans="1:8" x14ac:dyDescent="0.2">
      <c r="A14">
        <v>36</v>
      </c>
      <c r="B14" t="s">
        <v>86</v>
      </c>
      <c r="C14" s="7">
        <v>50694457</v>
      </c>
      <c r="D14" s="7">
        <v>44731189</v>
      </c>
      <c r="E14" s="7">
        <v>44469857</v>
      </c>
      <c r="F14" s="15">
        <f>E14-D14</f>
        <v>-261332</v>
      </c>
      <c r="G14" s="29">
        <f>IF(D14=0,"-",F14/D14)</f>
        <v>-5.8422770742803196E-3</v>
      </c>
      <c r="H14" s="33">
        <f>E14/E$24</f>
        <v>2.3609418723480366E-2</v>
      </c>
    </row>
    <row r="15" spans="1:8" x14ac:dyDescent="0.2">
      <c r="A15">
        <v>41</v>
      </c>
      <c r="B15" t="s">
        <v>87</v>
      </c>
      <c r="C15" s="7">
        <v>56684954</v>
      </c>
      <c r="D15" s="7">
        <v>61098099</v>
      </c>
      <c r="E15" s="7">
        <v>58160756</v>
      </c>
      <c r="F15" s="15">
        <f>E15-D15</f>
        <v>-2937343</v>
      </c>
      <c r="G15" s="29">
        <f>IF(D15=0,"-",F15/D15)</f>
        <v>-4.8075849299337448E-2</v>
      </c>
      <c r="H15" s="33">
        <f>E15/E$24</f>
        <v>3.0878031419758627E-2</v>
      </c>
    </row>
    <row r="16" spans="1:8" x14ac:dyDescent="0.2">
      <c r="A16">
        <v>51</v>
      </c>
      <c r="B16" t="s">
        <v>88</v>
      </c>
      <c r="C16" s="7">
        <v>197371828</v>
      </c>
      <c r="D16" s="7">
        <v>206835488</v>
      </c>
      <c r="E16" s="7">
        <v>199865471</v>
      </c>
      <c r="F16" s="15">
        <f>E16-D16</f>
        <v>-6970017</v>
      </c>
      <c r="G16" s="29">
        <f>IF(D16=0,"-",F16/D16)</f>
        <v>-3.3698361279279117E-2</v>
      </c>
      <c r="H16" s="33">
        <f>E16/E$24</f>
        <v>0.10611024886373308</v>
      </c>
    </row>
    <row r="17" spans="1:8" x14ac:dyDescent="0.2">
      <c r="A17">
        <v>52</v>
      </c>
      <c r="B17" t="s">
        <v>89</v>
      </c>
      <c r="C17" s="7">
        <v>35560983</v>
      </c>
      <c r="D17" s="7">
        <v>41945463</v>
      </c>
      <c r="E17" s="7">
        <v>43456239</v>
      </c>
      <c r="F17" s="15">
        <f>E17-D17</f>
        <v>1510776</v>
      </c>
      <c r="G17" s="29">
        <f>IF(D17=0,"-",F17/D17)</f>
        <v>3.6017626030257432E-2</v>
      </c>
      <c r="H17" s="33">
        <f>E17/E$24</f>
        <v>2.3071280456301843E-2</v>
      </c>
    </row>
    <row r="18" spans="1:8" x14ac:dyDescent="0.2">
      <c r="A18">
        <v>53</v>
      </c>
      <c r="B18" t="s">
        <v>90</v>
      </c>
      <c r="C18" s="7">
        <v>37429820</v>
      </c>
      <c r="D18" s="7">
        <v>39905679</v>
      </c>
      <c r="E18" s="7">
        <v>38038645</v>
      </c>
      <c r="F18" s="15">
        <f>E18-D18</f>
        <v>-1867034</v>
      </c>
      <c r="G18" s="29">
        <f>IF(D18=0,"-",F18/D18)</f>
        <v>-4.6786172965506988E-2</v>
      </c>
      <c r="H18" s="33">
        <f>E18/E$24</f>
        <v>2.0195034525944684E-2</v>
      </c>
    </row>
    <row r="19" spans="1:8" x14ac:dyDescent="0.2">
      <c r="A19">
        <v>61</v>
      </c>
      <c r="B19" t="s">
        <v>91</v>
      </c>
      <c r="C19" s="7">
        <v>6400284</v>
      </c>
      <c r="D19" s="7">
        <v>8704554</v>
      </c>
      <c r="E19" s="7">
        <v>5216133</v>
      </c>
      <c r="F19" s="15">
        <f>E19-D19</f>
        <v>-3488421</v>
      </c>
      <c r="G19" s="29">
        <f>IF(D19=0,"-",F19/D19)</f>
        <v>-0.40075815486927879</v>
      </c>
      <c r="H19" s="33">
        <f>E19/E$24</f>
        <v>2.7692886018132199E-3</v>
      </c>
    </row>
    <row r="20" spans="1:8" x14ac:dyDescent="0.2">
      <c r="A20">
        <v>71</v>
      </c>
      <c r="B20" t="s">
        <v>6</v>
      </c>
      <c r="C20" s="10">
        <v>0</v>
      </c>
      <c r="D20" s="7">
        <v>12852237</v>
      </c>
      <c r="E20" s="7">
        <v>12852237</v>
      </c>
      <c r="F20" s="15">
        <f>E20-D20</f>
        <v>0</v>
      </c>
      <c r="G20" s="29">
        <f>IF(D20=0,"-",F20/D20)</f>
        <v>0</v>
      </c>
      <c r="H20" s="33">
        <f>E20/E$24</f>
        <v>6.8233600316368716E-3</v>
      </c>
    </row>
    <row r="21" spans="1:8" x14ac:dyDescent="0.2">
      <c r="A21">
        <v>91</v>
      </c>
      <c r="B21" t="s">
        <v>92</v>
      </c>
      <c r="C21" s="10">
        <v>0</v>
      </c>
      <c r="D21" s="7">
        <v>60000000</v>
      </c>
      <c r="E21" s="7">
        <v>104000000</v>
      </c>
      <c r="F21" s="15">
        <f>E21-D21</f>
        <v>44000000</v>
      </c>
      <c r="G21" s="29">
        <f>IF(D21=0,"-",F21/D21)</f>
        <v>0.73333333333333328</v>
      </c>
      <c r="H21" s="33">
        <f>E21/E$24</f>
        <v>5.5214469145739735E-2</v>
      </c>
    </row>
    <row r="22" spans="1:8" x14ac:dyDescent="0.2">
      <c r="A22">
        <v>95</v>
      </c>
      <c r="B22" t="s">
        <v>93</v>
      </c>
      <c r="C22" s="10">
        <v>0</v>
      </c>
      <c r="D22" s="7">
        <v>50000</v>
      </c>
      <c r="E22" s="7">
        <v>50000</v>
      </c>
      <c r="F22" s="15">
        <f>E22-D22</f>
        <v>0</v>
      </c>
      <c r="G22" s="29">
        <f>IF(D22=0,"-",F22/D22)</f>
        <v>0</v>
      </c>
      <c r="H22" s="33">
        <f>E22/E$24</f>
        <v>2.6545417858528721E-5</v>
      </c>
    </row>
    <row r="23" spans="1:8" x14ac:dyDescent="0.2">
      <c r="A23">
        <v>99</v>
      </c>
      <c r="B23" t="s">
        <v>94</v>
      </c>
      <c r="C23" s="10">
        <v>0</v>
      </c>
      <c r="D23" s="7">
        <v>6845778</v>
      </c>
      <c r="E23" s="7">
        <v>7098841</v>
      </c>
      <c r="F23" s="15">
        <f>E23-D23</f>
        <v>253063</v>
      </c>
      <c r="G23" s="29">
        <f>IF(D23=0,"-",F23/D23)</f>
        <v>3.6966287834633259E-2</v>
      </c>
      <c r="H23" s="33">
        <f>E23/E$24</f>
        <v>3.7688340131251173E-3</v>
      </c>
    </row>
    <row r="24" spans="1:8" x14ac:dyDescent="0.2">
      <c r="A24" s="28"/>
      <c r="B24" s="28" t="s">
        <v>95</v>
      </c>
      <c r="C24" s="18">
        <f>SUM(C5:C23)</f>
        <v>1658608422</v>
      </c>
      <c r="D24" s="18">
        <f>SUM(D5:D23)</f>
        <v>1882316972</v>
      </c>
      <c r="E24" s="18">
        <f>SUM(E5:E23)</f>
        <v>1883564247</v>
      </c>
      <c r="F24" s="18">
        <f>E24-D24</f>
        <v>1247275</v>
      </c>
      <c r="G24" s="34">
        <f>F24/D24</f>
        <v>6.626275056505202E-4</v>
      </c>
      <c r="H24" s="34">
        <f>E24/E24</f>
        <v>1</v>
      </c>
    </row>
    <row r="26" spans="1:8" ht="18" x14ac:dyDescent="0.25">
      <c r="A26" s="23" t="s">
        <v>96</v>
      </c>
    </row>
    <row r="27" spans="1:8" x14ac:dyDescent="0.2">
      <c r="A27" s="24" t="s">
        <v>41</v>
      </c>
      <c r="B27" s="24" t="s">
        <v>42</v>
      </c>
      <c r="C27" s="24" t="s">
        <v>43</v>
      </c>
      <c r="D27" s="24" t="s">
        <v>44</v>
      </c>
      <c r="E27" s="24" t="s">
        <v>45</v>
      </c>
      <c r="F27" s="24" t="s">
        <v>46</v>
      </c>
      <c r="G27" s="24" t="s">
        <v>76</v>
      </c>
      <c r="H27" s="24"/>
    </row>
    <row r="28" spans="1:8" x14ac:dyDescent="0.2">
      <c r="A28">
        <v>6100</v>
      </c>
      <c r="B28" t="s">
        <v>97</v>
      </c>
      <c r="C28" s="7">
        <v>1454794349</v>
      </c>
      <c r="D28" s="7">
        <v>1464112663</v>
      </c>
      <c r="E28" s="15">
        <f>D28-C28</f>
        <v>9318314</v>
      </c>
      <c r="F28" s="29">
        <f>IF(C28=0,"-",E28/C28)</f>
        <v>6.4052448419292009E-3</v>
      </c>
      <c r="G28" s="33">
        <f>D28/D$34</f>
        <v>0.77730964862596486</v>
      </c>
    </row>
    <row r="29" spans="1:8" x14ac:dyDescent="0.2">
      <c r="A29">
        <v>6200</v>
      </c>
      <c r="B29" t="s">
        <v>98</v>
      </c>
      <c r="C29" s="7">
        <v>235641861</v>
      </c>
      <c r="D29" s="7">
        <v>264035889</v>
      </c>
      <c r="E29" s="15">
        <f>D29-C29</f>
        <v>28394028</v>
      </c>
      <c r="F29" s="29">
        <f>IF(C29=0,"-",E29/C29)</f>
        <v>0.12049653605477169</v>
      </c>
      <c r="G29" s="33">
        <f>D29/D$34</f>
        <v>0.14017886006306213</v>
      </c>
    </row>
    <row r="30" spans="1:8" x14ac:dyDescent="0.2">
      <c r="A30">
        <v>6300</v>
      </c>
      <c r="B30" t="s">
        <v>99</v>
      </c>
      <c r="C30" s="7">
        <v>136243403</v>
      </c>
      <c r="D30" s="7">
        <v>103119787</v>
      </c>
      <c r="E30" s="15">
        <f>D30-C30</f>
        <v>-33123616</v>
      </c>
      <c r="F30" s="29">
        <f>IF(C30=0,"-",E30/C30)</f>
        <v>-0.24312087976839511</v>
      </c>
      <c r="G30" s="33">
        <f>D30/D$34</f>
        <v>5.4747156707949551E-2</v>
      </c>
    </row>
    <row r="31" spans="1:8" x14ac:dyDescent="0.2">
      <c r="A31">
        <v>6400</v>
      </c>
      <c r="B31" t="s">
        <v>100</v>
      </c>
      <c r="C31" s="7">
        <v>36673773</v>
      </c>
      <c r="D31" s="7">
        <v>35157708</v>
      </c>
      <c r="E31" s="15">
        <f>D31-C31</f>
        <v>-1516065</v>
      </c>
      <c r="F31" s="29">
        <f>IF(C31=0,"-",E31/C31)</f>
        <v>-4.1339215356980041E-2</v>
      </c>
      <c r="G31" s="33">
        <f>D31/D$34</f>
        <v>1.8665520996162761E-2</v>
      </c>
    </row>
    <row r="32" spans="1:8" x14ac:dyDescent="0.2">
      <c r="A32">
        <v>6500</v>
      </c>
      <c r="B32" t="s">
        <v>101</v>
      </c>
      <c r="C32" s="7">
        <v>12852237</v>
      </c>
      <c r="D32" s="7">
        <v>12852237</v>
      </c>
      <c r="E32" s="15">
        <f>D32-C32</f>
        <v>0</v>
      </c>
      <c r="F32" s="29">
        <f>IF(C32=0,"-",E32/C32)</f>
        <v>0</v>
      </c>
      <c r="G32" s="33">
        <f>D32/D$34</f>
        <v>6.8233600316368716E-3</v>
      </c>
    </row>
    <row r="33" spans="1:8" x14ac:dyDescent="0.2">
      <c r="A33">
        <v>6600</v>
      </c>
      <c r="B33" t="s">
        <v>102</v>
      </c>
      <c r="C33" s="7">
        <v>6111349</v>
      </c>
      <c r="D33" s="7">
        <v>4285963</v>
      </c>
      <c r="E33" s="15">
        <f>D33-C33</f>
        <v>-1825386</v>
      </c>
      <c r="F33" s="29">
        <f>IF(C33=0,"-",E33/C33)</f>
        <v>-0.29868790016737712</v>
      </c>
      <c r="G33" s="33">
        <f>D33/D$34</f>
        <v>2.2754535752238666E-3</v>
      </c>
    </row>
    <row r="34" spans="1:8" x14ac:dyDescent="0.2">
      <c r="A34" s="28"/>
      <c r="B34" s="28" t="s">
        <v>103</v>
      </c>
      <c r="C34" s="18">
        <f>SUM(C28:C33)</f>
        <v>1882316972</v>
      </c>
      <c r="D34" s="18">
        <f>SUM(D28:D33)</f>
        <v>1883564247</v>
      </c>
      <c r="E34" s="18">
        <f>D34-C34</f>
        <v>1247275</v>
      </c>
      <c r="F34" s="34">
        <f>E34/C34</f>
        <v>6.626275056505202E-4</v>
      </c>
      <c r="G34" s="34">
        <f>D34/D34</f>
        <v>1</v>
      </c>
      <c r="H34" s="2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20C1-5D3B-CD4C-B562-95417D39A1F6}">
  <dimension ref="A1:F48"/>
  <sheetViews>
    <sheetView zoomScale="75" workbookViewId="0">
      <selection activeCell="D36" sqref="D36"/>
    </sheetView>
  </sheetViews>
  <sheetFormatPr baseColWidth="10" defaultRowHeight="16" x14ac:dyDescent="0.2"/>
  <cols>
    <col min="1" max="5" width="20" customWidth="1"/>
  </cols>
  <sheetData>
    <row r="1" spans="1:5" ht="18" x14ac:dyDescent="0.25">
      <c r="A1" s="23" t="s">
        <v>104</v>
      </c>
    </row>
    <row r="2" spans="1:5" x14ac:dyDescent="0.2">
      <c r="A2" s="3" t="s">
        <v>40</v>
      </c>
    </row>
    <row r="4" spans="1:5" x14ac:dyDescent="0.2">
      <c r="A4" s="24" t="s">
        <v>105</v>
      </c>
    </row>
    <row r="5" spans="1:5" x14ac:dyDescent="0.2">
      <c r="A5" s="12" t="s">
        <v>106</v>
      </c>
      <c r="B5" s="35" t="s">
        <v>74</v>
      </c>
      <c r="C5" s="35" t="s">
        <v>43</v>
      </c>
      <c r="D5" s="35" t="s">
        <v>44</v>
      </c>
      <c r="E5" s="35" t="s">
        <v>76</v>
      </c>
    </row>
    <row r="6" spans="1:5" x14ac:dyDescent="0.2">
      <c r="A6" t="s">
        <v>107</v>
      </c>
      <c r="B6" s="7">
        <v>2291047</v>
      </c>
      <c r="C6" s="7">
        <v>2683072</v>
      </c>
      <c r="D6" s="7">
        <v>2145000</v>
      </c>
      <c r="E6" s="33">
        <f>D6/D$9</f>
        <v>1.8101692625562833E-2</v>
      </c>
    </row>
    <row r="7" spans="1:5" x14ac:dyDescent="0.2">
      <c r="A7" t="s">
        <v>108</v>
      </c>
      <c r="B7" s="7">
        <v>401681</v>
      </c>
      <c r="C7" s="7">
        <v>725000</v>
      </c>
      <c r="D7" s="7">
        <v>401681</v>
      </c>
      <c r="E7" s="33">
        <f>D7/D$9</f>
        <v>3.3897930049084871E-3</v>
      </c>
    </row>
    <row r="8" spans="1:5" x14ac:dyDescent="0.2">
      <c r="A8" t="s">
        <v>109</v>
      </c>
      <c r="B8" s="7">
        <v>103636561</v>
      </c>
      <c r="C8" s="7">
        <v>111875728</v>
      </c>
      <c r="D8" s="7">
        <v>115950525</v>
      </c>
      <c r="E8" s="33">
        <f>D8/D$9</f>
        <v>0.97850851436952868</v>
      </c>
    </row>
    <row r="9" spans="1:5" x14ac:dyDescent="0.2">
      <c r="A9" s="26" t="s">
        <v>11</v>
      </c>
      <c r="B9" s="27">
        <f>SUM(B6:B8)</f>
        <v>106329289</v>
      </c>
      <c r="C9" s="27">
        <f>SUM(C6:C8)</f>
        <v>115283800</v>
      </c>
      <c r="D9" s="27">
        <f>SUM(D6:D8)</f>
        <v>118497206</v>
      </c>
      <c r="E9" s="36"/>
    </row>
    <row r="11" spans="1:5" x14ac:dyDescent="0.2">
      <c r="A11" s="12" t="s">
        <v>110</v>
      </c>
    </row>
    <row r="12" spans="1:5" x14ac:dyDescent="0.2">
      <c r="A12" t="s">
        <v>97</v>
      </c>
      <c r="B12" s="7">
        <v>52232743</v>
      </c>
      <c r="C12" s="7">
        <v>56703219</v>
      </c>
      <c r="D12" s="7">
        <v>54128380</v>
      </c>
      <c r="E12" s="33">
        <f>D12/D$18</f>
        <v>0.45679034828888709</v>
      </c>
    </row>
    <row r="13" spans="1:5" x14ac:dyDescent="0.2">
      <c r="A13" t="s">
        <v>111</v>
      </c>
      <c r="B13" s="7">
        <v>4284470</v>
      </c>
      <c r="C13" s="7">
        <v>5000005</v>
      </c>
      <c r="D13" s="7">
        <v>4749058</v>
      </c>
      <c r="E13" s="33">
        <f>D13/D$18</f>
        <v>4.0077383765487265E-2</v>
      </c>
    </row>
    <row r="14" spans="1:5" x14ac:dyDescent="0.2">
      <c r="A14" t="s">
        <v>112</v>
      </c>
      <c r="B14" s="7">
        <v>58829690</v>
      </c>
      <c r="C14" s="7">
        <v>52026194</v>
      </c>
      <c r="D14" s="7">
        <v>57679422</v>
      </c>
      <c r="E14" s="33">
        <f>D14/D$18</f>
        <v>0.48675765401590987</v>
      </c>
    </row>
    <row r="15" spans="1:5" x14ac:dyDescent="0.2">
      <c r="A15" t="s">
        <v>100</v>
      </c>
      <c r="B15" s="7">
        <v>347500</v>
      </c>
      <c r="C15" s="7">
        <v>496382</v>
      </c>
      <c r="D15" s="7">
        <v>432850</v>
      </c>
      <c r="E15" s="33">
        <f>D15/D$18</f>
        <v>3.6528287426456285E-3</v>
      </c>
    </row>
    <row r="16" spans="1:5" x14ac:dyDescent="0.2">
      <c r="A16" t="s">
        <v>6</v>
      </c>
      <c r="B16" s="7">
        <v>10478</v>
      </c>
      <c r="C16" s="10">
        <v>0</v>
      </c>
      <c r="D16" s="7">
        <v>10000</v>
      </c>
      <c r="E16" s="33">
        <f>D16/D$18</f>
        <v>8.4390175410549336E-5</v>
      </c>
    </row>
    <row r="17" spans="1:5" x14ac:dyDescent="0.2">
      <c r="A17" t="s">
        <v>102</v>
      </c>
      <c r="B17" s="7">
        <v>1703872</v>
      </c>
      <c r="C17" s="7">
        <v>1058000</v>
      </c>
      <c r="D17" s="7">
        <v>1497496</v>
      </c>
      <c r="E17" s="33">
        <f>D17/D$18</f>
        <v>1.26373950116596E-2</v>
      </c>
    </row>
    <row r="18" spans="1:5" x14ac:dyDescent="0.2">
      <c r="A18" s="26" t="s">
        <v>33</v>
      </c>
      <c r="B18" s="27">
        <f>SUM(B12:B17)</f>
        <v>117408753</v>
      </c>
      <c r="C18" s="27">
        <f>SUM(C12:C17)</f>
        <v>115283800</v>
      </c>
      <c r="D18" s="27">
        <f>SUM(D12:D17)</f>
        <v>118497206</v>
      </c>
      <c r="E18" s="36"/>
    </row>
    <row r="21" spans="1:5" x14ac:dyDescent="0.2">
      <c r="A21" s="24" t="s">
        <v>113</v>
      </c>
    </row>
    <row r="22" spans="1:5" x14ac:dyDescent="0.2">
      <c r="A22" s="12" t="s">
        <v>106</v>
      </c>
      <c r="B22" s="35" t="s">
        <v>74</v>
      </c>
      <c r="C22" s="35" t="s">
        <v>43</v>
      </c>
      <c r="D22" s="35" t="s">
        <v>44</v>
      </c>
      <c r="E22" s="35" t="s">
        <v>76</v>
      </c>
    </row>
    <row r="23" spans="1:5" x14ac:dyDescent="0.2">
      <c r="A23" t="s">
        <v>114</v>
      </c>
      <c r="B23" s="7">
        <v>401907252</v>
      </c>
      <c r="C23" s="7">
        <v>426492633</v>
      </c>
      <c r="D23" s="7">
        <v>459120085</v>
      </c>
      <c r="E23" s="33">
        <f>D23/D$27</f>
        <v>0.97556415383334094</v>
      </c>
    </row>
    <row r="24" spans="1:5" x14ac:dyDescent="0.2">
      <c r="A24" t="s">
        <v>115</v>
      </c>
      <c r="B24" s="10">
        <v>-2750042</v>
      </c>
      <c r="C24" s="7">
        <v>1000000</v>
      </c>
      <c r="D24" s="10">
        <v>0</v>
      </c>
      <c r="E24" s="33">
        <f>IF(D$27=0,"-",D24/D$27)</f>
        <v>0</v>
      </c>
    </row>
    <row r="25" spans="1:5" x14ac:dyDescent="0.2">
      <c r="A25" t="s">
        <v>116</v>
      </c>
      <c r="B25" s="7">
        <v>2863898</v>
      </c>
      <c r="C25" s="7">
        <v>2500000</v>
      </c>
      <c r="D25" s="7">
        <v>2500000</v>
      </c>
      <c r="E25" s="33">
        <f>D25/D$27</f>
        <v>5.3121404710128337E-3</v>
      </c>
    </row>
    <row r="26" spans="1:5" x14ac:dyDescent="0.2">
      <c r="A26" t="s">
        <v>117</v>
      </c>
      <c r="B26" s="7">
        <v>11558396</v>
      </c>
      <c r="C26" s="7">
        <v>9000000</v>
      </c>
      <c r="D26" s="7">
        <v>9000000</v>
      </c>
      <c r="E26" s="33">
        <f>D26/D$27</f>
        <v>1.9123705695646202E-2</v>
      </c>
    </row>
    <row r="27" spans="1:5" x14ac:dyDescent="0.2">
      <c r="A27" s="26" t="s">
        <v>118</v>
      </c>
      <c r="B27" s="27">
        <f>SUM(B23:B26)</f>
        <v>413579504</v>
      </c>
      <c r="C27" s="27">
        <f>SUM(C23:C26)</f>
        <v>438992633</v>
      </c>
      <c r="D27" s="27">
        <f>SUM(D23:D26)</f>
        <v>470620085</v>
      </c>
      <c r="E27" s="36"/>
    </row>
    <row r="29" spans="1:5" x14ac:dyDescent="0.2">
      <c r="A29" s="12" t="s">
        <v>119</v>
      </c>
    </row>
    <row r="30" spans="1:5" x14ac:dyDescent="0.2">
      <c r="A30" t="s">
        <v>120</v>
      </c>
      <c r="D30" s="7">
        <v>78846603</v>
      </c>
    </row>
    <row r="31" spans="1:5" x14ac:dyDescent="0.2">
      <c r="A31" t="s">
        <v>121</v>
      </c>
      <c r="D31" s="7">
        <v>52491300</v>
      </c>
    </row>
    <row r="32" spans="1:5" x14ac:dyDescent="0.2">
      <c r="A32" t="s">
        <v>122</v>
      </c>
      <c r="D32" s="7">
        <v>6276350</v>
      </c>
    </row>
    <row r="33" spans="1:6" x14ac:dyDescent="0.2">
      <c r="A33" t="s">
        <v>123</v>
      </c>
      <c r="D33" s="7">
        <v>293544047</v>
      </c>
    </row>
    <row r="34" spans="1:6" x14ac:dyDescent="0.2">
      <c r="A34" s="26" t="s">
        <v>124</v>
      </c>
      <c r="D34" s="27">
        <f>SUM(D30:D33)</f>
        <v>431158300</v>
      </c>
    </row>
    <row r="36" spans="1:6" x14ac:dyDescent="0.2">
      <c r="A36" s="28" t="s">
        <v>125</v>
      </c>
      <c r="D36" s="18">
        <f>D27-D34</f>
        <v>39461785</v>
      </c>
    </row>
    <row r="39" spans="1:6" x14ac:dyDescent="0.2">
      <c r="A39" s="24" t="s">
        <v>126</v>
      </c>
    </row>
    <row r="40" spans="1:6" x14ac:dyDescent="0.2">
      <c r="A40" s="12" t="s">
        <v>127</v>
      </c>
      <c r="B40" s="37"/>
      <c r="C40" s="37"/>
      <c r="D40" s="35" t="s">
        <v>128</v>
      </c>
      <c r="E40" s="35" t="s">
        <v>129</v>
      </c>
      <c r="F40" t="s">
        <v>186</v>
      </c>
    </row>
    <row r="41" spans="1:6" x14ac:dyDescent="0.2">
      <c r="A41" t="s">
        <v>130</v>
      </c>
      <c r="D41" s="7">
        <v>2000000</v>
      </c>
      <c r="E41" s="38">
        <v>9</v>
      </c>
    </row>
    <row r="42" spans="1:6" x14ac:dyDescent="0.2">
      <c r="A42" t="s">
        <v>131</v>
      </c>
      <c r="D42" s="7">
        <v>35812600</v>
      </c>
      <c r="E42" s="38">
        <v>349.2</v>
      </c>
    </row>
    <row r="43" spans="1:6" x14ac:dyDescent="0.2">
      <c r="A43" t="s">
        <v>132</v>
      </c>
      <c r="D43" s="7">
        <v>83777856</v>
      </c>
      <c r="E43" s="38">
        <v>983.05</v>
      </c>
    </row>
    <row r="44" spans="1:6" x14ac:dyDescent="0.2">
      <c r="A44" t="s">
        <v>133</v>
      </c>
      <c r="D44" s="7">
        <v>7237451</v>
      </c>
      <c r="E44" s="38">
        <v>49.5</v>
      </c>
    </row>
    <row r="45" spans="1:6" x14ac:dyDescent="0.2">
      <c r="A45" t="s">
        <v>134</v>
      </c>
      <c r="D45" s="7">
        <v>5735259</v>
      </c>
      <c r="E45" s="38">
        <v>43.15</v>
      </c>
    </row>
    <row r="46" spans="1:6" x14ac:dyDescent="0.2">
      <c r="A46" t="s">
        <v>135</v>
      </c>
      <c r="D46" s="7">
        <v>6633057</v>
      </c>
      <c r="E46" s="38">
        <v>35.5</v>
      </c>
    </row>
    <row r="47" spans="1:6" x14ac:dyDescent="0.2">
      <c r="A47" t="s">
        <v>136</v>
      </c>
      <c r="D47" s="7">
        <v>1402446</v>
      </c>
      <c r="E47" s="38">
        <v>15.34</v>
      </c>
    </row>
    <row r="48" spans="1:6" x14ac:dyDescent="0.2">
      <c r="A48" s="26" t="s">
        <v>137</v>
      </c>
      <c r="D48" s="27">
        <f>SUM(D41:D47)</f>
        <v>142598669</v>
      </c>
      <c r="E48" s="39">
        <f>SUM(E41:E47)</f>
        <v>1484.74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B9560-7FAE-1049-9DFD-7BD4C8BD2A85}">
  <dimension ref="A1:F19"/>
  <sheetViews>
    <sheetView workbookViewId="0">
      <selection activeCell="B19" sqref="B19"/>
    </sheetView>
  </sheetViews>
  <sheetFormatPr baseColWidth="10" defaultRowHeight="16" x14ac:dyDescent="0.2"/>
  <cols>
    <col min="1" max="1" width="36.1640625" bestFit="1" customWidth="1"/>
    <col min="2" max="2" width="20.1640625" bestFit="1" customWidth="1"/>
    <col min="3" max="3" width="23.1640625" bestFit="1" customWidth="1"/>
    <col min="4" max="4" width="10.1640625" bestFit="1" customWidth="1"/>
    <col min="5" max="5" width="10.6640625" bestFit="1" customWidth="1"/>
    <col min="6" max="6" width="9" bestFit="1" customWidth="1"/>
  </cols>
  <sheetData>
    <row r="1" spans="1:6" ht="18" x14ac:dyDescent="0.25">
      <c r="A1" s="23" t="s">
        <v>138</v>
      </c>
    </row>
    <row r="2" spans="1:6" x14ac:dyDescent="0.2">
      <c r="A2" s="3" t="s">
        <v>139</v>
      </c>
    </row>
    <row r="4" spans="1:6" x14ac:dyDescent="0.2">
      <c r="A4" s="24" t="s">
        <v>140</v>
      </c>
      <c r="B4" s="25" t="s">
        <v>141</v>
      </c>
      <c r="C4" s="25" t="s">
        <v>142</v>
      </c>
      <c r="D4" s="25" t="s">
        <v>143</v>
      </c>
      <c r="E4" s="25" t="s">
        <v>144</v>
      </c>
      <c r="F4" s="25" t="s">
        <v>145</v>
      </c>
    </row>
    <row r="5" spans="1:6" x14ac:dyDescent="0.2">
      <c r="A5" t="s">
        <v>146</v>
      </c>
      <c r="B5" s="40">
        <v>40987</v>
      </c>
      <c r="C5" s="40">
        <v>39548</v>
      </c>
      <c r="D5" s="41">
        <f>C5-B5</f>
        <v>-1439</v>
      </c>
      <c r="E5" s="33">
        <f>D5/B5</f>
        <v>-3.5108693000219585E-2</v>
      </c>
      <c r="F5" s="33">
        <f>C5/C$8</f>
        <v>0.28270784187575954</v>
      </c>
    </row>
    <row r="6" spans="1:6" x14ac:dyDescent="0.2">
      <c r="A6" t="s">
        <v>147</v>
      </c>
      <c r="B6" s="40">
        <v>28787</v>
      </c>
      <c r="C6" s="40">
        <v>27875</v>
      </c>
      <c r="D6" s="41">
        <f>C6-B6</f>
        <v>-912</v>
      </c>
      <c r="E6" s="33">
        <f>D6/B6</f>
        <v>-3.1680967103206309E-2</v>
      </c>
      <c r="F6" s="33">
        <f>C6/C$8</f>
        <v>0.19926370719851311</v>
      </c>
    </row>
    <row r="7" spans="1:6" x14ac:dyDescent="0.2">
      <c r="A7" t="s">
        <v>148</v>
      </c>
      <c r="B7" s="40">
        <v>70028</v>
      </c>
      <c r="C7" s="40">
        <v>72467</v>
      </c>
      <c r="D7" s="41">
        <f>C7-B7</f>
        <v>2439</v>
      </c>
      <c r="E7" s="33">
        <f>D7/B7</f>
        <v>3.4828925572628094E-2</v>
      </c>
      <c r="F7" s="33">
        <f>C7/C$8</f>
        <v>0.51802845092572736</v>
      </c>
    </row>
    <row r="8" spans="1:6" x14ac:dyDescent="0.2">
      <c r="A8" s="28" t="s">
        <v>149</v>
      </c>
      <c r="B8" s="42">
        <f>SUM(B5:B7)</f>
        <v>139802</v>
      </c>
      <c r="C8" s="42">
        <f>SUM(C5:C7)</f>
        <v>139890</v>
      </c>
      <c r="D8" s="43">
        <f>C8-B8</f>
        <v>88</v>
      </c>
      <c r="E8" s="34">
        <f>D8/B8</f>
        <v>6.294616672150613E-4</v>
      </c>
      <c r="F8" s="44"/>
    </row>
    <row r="10" spans="1:6" x14ac:dyDescent="0.2">
      <c r="A10" s="2" t="s">
        <v>150</v>
      </c>
    </row>
    <row r="12" spans="1:6" x14ac:dyDescent="0.2">
      <c r="A12" s="8" t="s">
        <v>151</v>
      </c>
    </row>
    <row r="13" spans="1:6" x14ac:dyDescent="0.2">
      <c r="A13" t="s">
        <v>43</v>
      </c>
      <c r="B13" s="14">
        <f>'GF Expenditures'!D24/B8</f>
        <v>13464.16340252643</v>
      </c>
    </row>
    <row r="14" spans="1:6" x14ac:dyDescent="0.2">
      <c r="A14" t="s">
        <v>44</v>
      </c>
      <c r="B14" s="14">
        <f>'GF Expenditures'!E24/C8</f>
        <v>13464.609671885053</v>
      </c>
    </row>
    <row r="15" spans="1:6" x14ac:dyDescent="0.2">
      <c r="A15" t="s">
        <v>152</v>
      </c>
      <c r="B15" s="15">
        <f>B14-B13</f>
        <v>0.44626935862288519</v>
      </c>
    </row>
    <row r="16" spans="1:6" x14ac:dyDescent="0.2">
      <c r="A16" t="s">
        <v>46</v>
      </c>
      <c r="B16" s="33">
        <f>B15/B13</f>
        <v>3.3144974944313784E-5</v>
      </c>
    </row>
    <row r="18" spans="1:2" x14ac:dyDescent="0.2">
      <c r="A18" s="8" t="s">
        <v>153</v>
      </c>
    </row>
    <row r="19" spans="1:2" x14ac:dyDescent="0.2">
      <c r="A19" t="s">
        <v>44</v>
      </c>
      <c r="B19" s="14">
        <f>'Budget Summary'!E32/C8</f>
        <v>17393.80765601544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2BE6B-4F6F-B944-ACA6-62C6CAAE2BEC}">
  <dimension ref="A1:F40"/>
  <sheetViews>
    <sheetView zoomScale="88" workbookViewId="0">
      <selection activeCell="E19" sqref="E19"/>
    </sheetView>
  </sheetViews>
  <sheetFormatPr baseColWidth="10" defaultRowHeight="16" outlineLevelRow="1" x14ac:dyDescent="0.2"/>
  <cols>
    <col min="1" max="1" width="43.33203125" customWidth="1"/>
    <col min="2" max="6" width="23.33203125" customWidth="1"/>
  </cols>
  <sheetData>
    <row r="1" spans="1:6" ht="18" x14ac:dyDescent="0.25">
      <c r="A1" s="23" t="s">
        <v>189</v>
      </c>
    </row>
    <row r="2" spans="1:6" x14ac:dyDescent="0.2">
      <c r="A2" s="3" t="s">
        <v>190</v>
      </c>
    </row>
    <row r="4" spans="1:6" x14ac:dyDescent="0.2">
      <c r="A4" s="4" t="s">
        <v>191</v>
      </c>
      <c r="B4" s="45"/>
      <c r="C4" s="45"/>
    </row>
    <row r="5" spans="1:6" x14ac:dyDescent="0.2">
      <c r="A5" s="55" t="s">
        <v>192</v>
      </c>
      <c r="C5" s="56">
        <f>'GF Revenue'!D6</f>
        <v>1484904976</v>
      </c>
    </row>
    <row r="6" spans="1:6" x14ac:dyDescent="0.2">
      <c r="A6" s="55" t="s">
        <v>193</v>
      </c>
      <c r="C6" s="57">
        <v>0.05</v>
      </c>
    </row>
    <row r="7" spans="1:6" x14ac:dyDescent="0.2">
      <c r="A7" s="55" t="s">
        <v>194</v>
      </c>
      <c r="C7" s="56">
        <f>C5/(1+C6)</f>
        <v>1414195215.2380953</v>
      </c>
    </row>
    <row r="8" spans="1:6" x14ac:dyDescent="0.2">
      <c r="A8" s="55" t="s">
        <v>195</v>
      </c>
      <c r="C8" s="56">
        <f>'GF Revenue'!D15-'GF Revenue'!D6</f>
        <v>55620000</v>
      </c>
    </row>
    <row r="9" spans="1:6" x14ac:dyDescent="0.2">
      <c r="A9" s="55" t="s">
        <v>196</v>
      </c>
      <c r="C9" s="56">
        <f>'GF Revenue'!D21+'GF Revenue'!D29</f>
        <v>214165603</v>
      </c>
    </row>
    <row r="10" spans="1:6" x14ac:dyDescent="0.2">
      <c r="A10" s="55" t="s">
        <v>197</v>
      </c>
      <c r="C10" s="56">
        <f>'GF Expenditures'!E24</f>
        <v>1883564247</v>
      </c>
    </row>
    <row r="12" spans="1:6" x14ac:dyDescent="0.2">
      <c r="A12" s="4" t="s">
        <v>198</v>
      </c>
      <c r="B12" s="45"/>
      <c r="C12" s="45"/>
      <c r="D12" s="45"/>
      <c r="E12" s="45"/>
      <c r="F12" s="45"/>
    </row>
    <row r="13" spans="1:6" x14ac:dyDescent="0.2">
      <c r="A13" s="59"/>
      <c r="B13" s="60" t="s">
        <v>199</v>
      </c>
      <c r="C13" s="61" t="s">
        <v>200</v>
      </c>
      <c r="D13" s="62" t="s">
        <v>201</v>
      </c>
      <c r="E13" s="78" t="s">
        <v>202</v>
      </c>
      <c r="F13" s="63" t="s">
        <v>203</v>
      </c>
    </row>
    <row r="14" spans="1:6" x14ac:dyDescent="0.2">
      <c r="A14" s="64" t="s">
        <v>204</v>
      </c>
      <c r="B14" s="65">
        <v>-0.02</v>
      </c>
      <c r="C14" s="66">
        <v>0</v>
      </c>
      <c r="D14" s="67">
        <v>0.02</v>
      </c>
      <c r="E14" s="79">
        <v>0.05</v>
      </c>
      <c r="F14" s="68">
        <v>0.08</v>
      </c>
    </row>
    <row r="15" spans="1:6" x14ac:dyDescent="0.2">
      <c r="A15" s="69"/>
      <c r="B15" s="69"/>
      <c r="C15" s="69"/>
      <c r="D15" s="69"/>
      <c r="E15" s="80"/>
      <c r="F15" s="69"/>
    </row>
    <row r="16" spans="1:6" x14ac:dyDescent="0.2">
      <c r="A16" s="70" t="s">
        <v>205</v>
      </c>
      <c r="B16" s="71">
        <f>$C$7*(1+B14)</f>
        <v>1385911310.9333334</v>
      </c>
      <c r="C16" s="71">
        <f>$C$7*(1+C14)</f>
        <v>1414195215.2380953</v>
      </c>
      <c r="D16" s="71">
        <f>$C$7*(1+D14)</f>
        <v>1442479119.5428572</v>
      </c>
      <c r="E16" s="81">
        <f>$C$7*(1+E14)</f>
        <v>1484904976</v>
      </c>
      <c r="F16" s="71">
        <f>$C$7*(1+F14)</f>
        <v>1527330832.4571431</v>
      </c>
    </row>
    <row r="17" spans="1:6" x14ac:dyDescent="0.2">
      <c r="A17" s="69" t="s">
        <v>206</v>
      </c>
      <c r="B17" s="71">
        <f>$C$8</f>
        <v>55620000</v>
      </c>
      <c r="C17" s="71">
        <f>$C$8</f>
        <v>55620000</v>
      </c>
      <c r="D17" s="71">
        <f>$C$8</f>
        <v>55620000</v>
      </c>
      <c r="E17" s="81">
        <f>$C$8</f>
        <v>55620000</v>
      </c>
      <c r="F17" s="71">
        <f>$C$8</f>
        <v>55620000</v>
      </c>
    </row>
    <row r="18" spans="1:6" x14ac:dyDescent="0.2">
      <c r="A18" s="69" t="s">
        <v>207</v>
      </c>
      <c r="B18" s="71">
        <f>B16+B17</f>
        <v>1441531310.9333334</v>
      </c>
      <c r="C18" s="71">
        <f>C16+C17</f>
        <v>1469815215.2380953</v>
      </c>
      <c r="D18" s="71">
        <f>D16+D17</f>
        <v>1498099119.5428572</v>
      </c>
      <c r="E18" s="81">
        <f>E16+E17</f>
        <v>1540524976</v>
      </c>
      <c r="F18" s="71">
        <f>F16+F17</f>
        <v>1582950832.4571431</v>
      </c>
    </row>
    <row r="19" spans="1:6" x14ac:dyDescent="0.2">
      <c r="A19" s="69" t="s">
        <v>208</v>
      </c>
      <c r="B19" s="71">
        <f>$C$9</f>
        <v>214165603</v>
      </c>
      <c r="C19" s="71">
        <f>$C$9</f>
        <v>214165603</v>
      </c>
      <c r="D19" s="71">
        <f>$C$9</f>
        <v>214165603</v>
      </c>
      <c r="E19" s="81">
        <f>$C$9</f>
        <v>214165603</v>
      </c>
      <c r="F19" s="71">
        <f>$C$9</f>
        <v>214165603</v>
      </c>
    </row>
    <row r="20" spans="1:6" x14ac:dyDescent="0.2">
      <c r="A20" s="72" t="s">
        <v>209</v>
      </c>
      <c r="B20" s="73">
        <f>B18+B19</f>
        <v>1655696913.9333334</v>
      </c>
      <c r="C20" s="73">
        <f>C18+C19</f>
        <v>1683980818.2380953</v>
      </c>
      <c r="D20" s="73">
        <f>D18+D19</f>
        <v>1712264722.5428572</v>
      </c>
      <c r="E20" s="82">
        <f>E18+E19</f>
        <v>1754690579</v>
      </c>
      <c r="F20" s="73">
        <f>F18+F19</f>
        <v>1797116435.4571431</v>
      </c>
    </row>
    <row r="21" spans="1:6" x14ac:dyDescent="0.2">
      <c r="A21" s="69"/>
      <c r="B21" s="69"/>
      <c r="C21" s="69"/>
      <c r="D21" s="69"/>
      <c r="E21" s="80"/>
      <c r="F21" s="69"/>
    </row>
    <row r="22" spans="1:6" x14ac:dyDescent="0.2">
      <c r="A22" s="70" t="s">
        <v>210</v>
      </c>
      <c r="B22" s="71">
        <f>$C$10</f>
        <v>1883564247</v>
      </c>
      <c r="C22" s="71">
        <f>$C$10</f>
        <v>1883564247</v>
      </c>
      <c r="D22" s="71">
        <f>$C$10</f>
        <v>1883564247</v>
      </c>
      <c r="E22" s="81">
        <f>$C$10</f>
        <v>1883564247</v>
      </c>
      <c r="F22" s="71">
        <f>$C$10</f>
        <v>1883564247</v>
      </c>
    </row>
    <row r="23" spans="1:6" x14ac:dyDescent="0.2">
      <c r="A23" s="69"/>
      <c r="B23" s="69"/>
      <c r="C23" s="69"/>
      <c r="D23" s="69"/>
      <c r="E23" s="80"/>
      <c r="F23" s="69"/>
    </row>
    <row r="24" spans="1:6" x14ac:dyDescent="0.2">
      <c r="A24" s="74" t="s">
        <v>211</v>
      </c>
      <c r="B24" s="75">
        <f>B20-B22</f>
        <v>-227867333.0666666</v>
      </c>
      <c r="C24" s="75">
        <f>C20-C22</f>
        <v>-199583428.76190472</v>
      </c>
      <c r="D24" s="75">
        <f>D20-D22</f>
        <v>-171299524.45714283</v>
      </c>
      <c r="E24" s="83">
        <f>E20-E22</f>
        <v>-128873668</v>
      </c>
      <c r="F24" s="75">
        <f>F20-F22</f>
        <v>-86447811.542856932</v>
      </c>
    </row>
    <row r="25" spans="1:6" x14ac:dyDescent="0.2">
      <c r="A25" s="76" t="s">
        <v>175</v>
      </c>
      <c r="B25" s="77">
        <f>B24/B20</f>
        <v>-0.13762623530253296</v>
      </c>
      <c r="C25" s="77">
        <f>C24/C20</f>
        <v>-0.11851882551175588</v>
      </c>
      <c r="D25" s="77">
        <f>D24/D20</f>
        <v>-0.10004266408219205</v>
      </c>
      <c r="E25" s="84">
        <f>E24/E20</f>
        <v>-7.3445238461042658E-2</v>
      </c>
      <c r="F25" s="77">
        <f>F24/F20</f>
        <v>-4.8103623024774514E-2</v>
      </c>
    </row>
    <row r="27" spans="1:6" x14ac:dyDescent="0.2">
      <c r="A27" s="4" t="s">
        <v>212</v>
      </c>
      <c r="B27" s="45"/>
      <c r="C27" s="45"/>
      <c r="D27" s="45"/>
      <c r="E27" s="45"/>
      <c r="F27" s="45"/>
    </row>
    <row r="28" spans="1:6" x14ac:dyDescent="0.2">
      <c r="A28" t="s">
        <v>213</v>
      </c>
      <c r="B28" s="15">
        <f>B16-E16</f>
        <v>-98993665.066666603</v>
      </c>
      <c r="C28" s="15">
        <f>C16-E16</f>
        <v>-70709760.761904716</v>
      </c>
      <c r="D28" s="15">
        <f>D16-E16</f>
        <v>-42425856.45714283</v>
      </c>
      <c r="E28" s="15">
        <v>0</v>
      </c>
      <c r="F28" s="15">
        <f>F16-E16</f>
        <v>42425856.457143068</v>
      </c>
    </row>
    <row r="29" spans="1:6" x14ac:dyDescent="0.2">
      <c r="A29" t="s">
        <v>214</v>
      </c>
      <c r="B29" s="15">
        <f>B24-E24</f>
        <v>-98993665.066666603</v>
      </c>
      <c r="C29" s="15">
        <f>C24-E24</f>
        <v>-70709760.761904716</v>
      </c>
      <c r="D29" s="15">
        <f>D24-E24</f>
        <v>-42425856.45714283</v>
      </c>
      <c r="E29" s="15">
        <v>0</v>
      </c>
      <c r="F29" s="15">
        <f>F24-E24</f>
        <v>42425856.457143068</v>
      </c>
    </row>
    <row r="30" spans="1:6" x14ac:dyDescent="0.2">
      <c r="A30" t="s">
        <v>215</v>
      </c>
      <c r="B30" s="14">
        <f>B20/Enrollment!C8</f>
        <v>11835.706011389902</v>
      </c>
      <c r="C30" s="14">
        <f>C20/Enrollment!C8</f>
        <v>12037.892760298058</v>
      </c>
      <c r="D30" s="14">
        <f>D20/Enrollment!C8</f>
        <v>12240.079509206213</v>
      </c>
      <c r="E30" s="14">
        <f>E20/Enrollment!C8</f>
        <v>12543.359632568447</v>
      </c>
      <c r="F30" s="14">
        <f>F20/Enrollment!C8</f>
        <v>12846.639755930682</v>
      </c>
    </row>
    <row r="31" spans="1:6" x14ac:dyDescent="0.2">
      <c r="A31" t="s">
        <v>216</v>
      </c>
      <c r="B31" s="15">
        <f>B30-E30</f>
        <v>-707.6536211785442</v>
      </c>
      <c r="C31" s="15">
        <f>C30-E30</f>
        <v>-505.46687227038819</v>
      </c>
      <c r="D31" s="15">
        <f>D30-E30</f>
        <v>-303.28012336223401</v>
      </c>
      <c r="E31" s="15">
        <v>0</v>
      </c>
      <c r="F31" s="15">
        <f>F30-E30</f>
        <v>303.28012336223583</v>
      </c>
    </row>
    <row r="33" spans="1:6" x14ac:dyDescent="0.2">
      <c r="A33" s="8" t="s">
        <v>217</v>
      </c>
      <c r="B33" s="58">
        <f>B20/B22</f>
        <v>0.87902332854873588</v>
      </c>
      <c r="C33" s="58">
        <f>C20/C22</f>
        <v>0.89403948971754676</v>
      </c>
      <c r="D33" s="58">
        <f>D20/D22</f>
        <v>0.90905565088635765</v>
      </c>
      <c r="E33" s="58">
        <f>E20/E22</f>
        <v>0.93157989263957397</v>
      </c>
      <c r="F33" s="58">
        <f>F20/F22</f>
        <v>0.9541041343927904</v>
      </c>
    </row>
    <row r="36" spans="1:6" outlineLevel="1" x14ac:dyDescent="0.2">
      <c r="A36" s="87" t="s">
        <v>218</v>
      </c>
    </row>
    <row r="37" spans="1:6" outlineLevel="1" x14ac:dyDescent="0.2">
      <c r="A37" s="85" t="s">
        <v>219</v>
      </c>
      <c r="B37" t="str">
        <f>B13</f>
        <v>Stress</v>
      </c>
      <c r="C37" t="str">
        <f>C13</f>
        <v>Bear</v>
      </c>
      <c r="D37" t="str">
        <f>D13</f>
        <v>Moderate</v>
      </c>
      <c r="E37" t="str">
        <f>E13</f>
        <v>Adopted (Base)</v>
      </c>
      <c r="F37" t="str">
        <f>F13</f>
        <v>Bull</v>
      </c>
    </row>
    <row r="38" spans="1:6" outlineLevel="1" x14ac:dyDescent="0.2">
      <c r="A38" s="85" t="s">
        <v>220</v>
      </c>
      <c r="B38" s="15">
        <f>B24/1000000</f>
        <v>-227.86733306666659</v>
      </c>
      <c r="C38" s="15">
        <f>C24/1000000</f>
        <v>-199.58342876190471</v>
      </c>
      <c r="D38" s="15">
        <f>D24/1000000</f>
        <v>-171.29952445714284</v>
      </c>
      <c r="E38" s="15">
        <f>E24/1000000</f>
        <v>-128.87366800000001</v>
      </c>
      <c r="F38" s="15">
        <f>F24/1000000</f>
        <v>-86.447811542856925</v>
      </c>
    </row>
    <row r="39" spans="1:6" outlineLevel="1" x14ac:dyDescent="0.2">
      <c r="A39" s="85" t="s">
        <v>221</v>
      </c>
      <c r="B39">
        <f>B33</f>
        <v>0.87902332854873588</v>
      </c>
      <c r="C39">
        <f>C33</f>
        <v>0.89403948971754676</v>
      </c>
      <c r="D39">
        <f>D33</f>
        <v>0.90905565088635765</v>
      </c>
      <c r="E39">
        <f>E33</f>
        <v>0.93157989263957397</v>
      </c>
      <c r="F39">
        <f>F33</f>
        <v>0.9541041343927904</v>
      </c>
    </row>
    <row r="40" spans="1:6" outlineLevel="1" x14ac:dyDescent="0.2">
      <c r="A40" s="85" t="s">
        <v>222</v>
      </c>
      <c r="B40" s="14">
        <f>B30/1000</f>
        <v>11.835706011389902</v>
      </c>
      <c r="C40" s="14">
        <f>C30/1000</f>
        <v>12.037892760298059</v>
      </c>
      <c r="D40" s="14">
        <f>D30/1000</f>
        <v>12.240079509206213</v>
      </c>
      <c r="E40" s="14">
        <f>E30/1000</f>
        <v>12.543359632568446</v>
      </c>
      <c r="F40" s="14">
        <f>F30/1000</f>
        <v>12.846639755930683</v>
      </c>
    </row>
  </sheetData>
  <conditionalFormatting sqref="B24:F24">
    <cfRule type="cellIs" dxfId="0" priority="1" operator="lessThan">
      <formula>0</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0B8E-3312-9E41-A45B-F3FF2B9A893B}">
  <dimension ref="A1:U41"/>
  <sheetViews>
    <sheetView tabSelected="1" topLeftCell="A3" workbookViewId="0">
      <selection activeCell="E13" sqref="E13:T19"/>
    </sheetView>
  </sheetViews>
  <sheetFormatPr baseColWidth="10" defaultRowHeight="16" x14ac:dyDescent="0.2"/>
  <cols>
    <col min="1" max="1" width="43.33203125" customWidth="1"/>
    <col min="2" max="3" width="21.6640625" customWidth="1"/>
    <col min="4" max="4" width="8.33203125" customWidth="1"/>
  </cols>
  <sheetData>
    <row r="1" spans="1:20" ht="18" x14ac:dyDescent="0.25">
      <c r="A1" s="23" t="s">
        <v>154</v>
      </c>
    </row>
    <row r="2" spans="1:20" x14ac:dyDescent="0.2">
      <c r="A2" s="3" t="s">
        <v>155</v>
      </c>
    </row>
    <row r="3" spans="1:20" x14ac:dyDescent="0.2">
      <c r="E3" s="52" t="s">
        <v>184</v>
      </c>
      <c r="F3" s="52"/>
      <c r="G3" s="52"/>
      <c r="H3" s="52"/>
      <c r="I3" s="52"/>
      <c r="J3" s="52"/>
      <c r="K3" s="52"/>
      <c r="L3" s="52"/>
      <c r="M3" s="52"/>
      <c r="N3" s="52"/>
      <c r="O3" s="52"/>
      <c r="P3" s="52"/>
      <c r="Q3" s="52"/>
    </row>
    <row r="4" spans="1:20" x14ac:dyDescent="0.2">
      <c r="A4" s="4" t="s">
        <v>156</v>
      </c>
      <c r="B4" s="45"/>
      <c r="C4" s="45"/>
      <c r="D4" s="45"/>
      <c r="E4" s="52"/>
      <c r="F4" s="52"/>
      <c r="G4" s="52"/>
      <c r="H4" s="52"/>
      <c r="I4" s="52"/>
      <c r="J4" s="52"/>
      <c r="K4" s="52"/>
      <c r="L4" s="52"/>
      <c r="M4" s="52"/>
      <c r="N4" s="52"/>
      <c r="O4" s="52"/>
      <c r="P4" s="52"/>
      <c r="Q4" s="52"/>
    </row>
    <row r="5" spans="1:20" x14ac:dyDescent="0.2">
      <c r="A5" s="12" t="s">
        <v>157</v>
      </c>
      <c r="B5" s="35" t="s">
        <v>158</v>
      </c>
      <c r="C5" s="35" t="s">
        <v>159</v>
      </c>
      <c r="D5" s="46" t="s">
        <v>160</v>
      </c>
      <c r="E5" s="52"/>
      <c r="F5" s="52"/>
      <c r="G5" s="52"/>
      <c r="H5" s="52"/>
      <c r="I5" s="52"/>
      <c r="J5" s="52"/>
      <c r="K5" s="52"/>
      <c r="L5" s="52"/>
      <c r="M5" s="52"/>
      <c r="N5" s="52"/>
      <c r="O5" s="52"/>
      <c r="P5" s="52"/>
      <c r="Q5" s="52"/>
    </row>
    <row r="6" spans="1:20" ht="16" customHeight="1" x14ac:dyDescent="0.2">
      <c r="A6" t="s">
        <v>161</v>
      </c>
      <c r="B6" s="33">
        <f>'GF Revenue'!C15/'GF Revenue'!C31</f>
        <v>0.83582234076488249</v>
      </c>
      <c r="C6" s="33">
        <f>'GF Revenue'!D15/'GF Revenue'!D31</f>
        <v>0.87794679839105694</v>
      </c>
      <c r="D6" s="47" t="str">
        <f>IF(C6&gt;B6,"▲",IF(C6&lt;B6,"▼","▬"))</f>
        <v>▲</v>
      </c>
      <c r="E6" s="52"/>
      <c r="F6" s="52"/>
      <c r="G6" s="52"/>
      <c r="H6" s="52"/>
      <c r="I6" s="52"/>
      <c r="J6" s="52"/>
      <c r="K6" s="52"/>
      <c r="L6" s="52"/>
      <c r="M6" s="52"/>
      <c r="N6" s="52"/>
      <c r="O6" s="52"/>
      <c r="P6" s="52"/>
      <c r="Q6" s="52"/>
    </row>
    <row r="7" spans="1:20" x14ac:dyDescent="0.2">
      <c r="A7" t="s">
        <v>162</v>
      </c>
      <c r="B7" s="33">
        <f>'GF Revenue'!C21/'GF Revenue'!C31</f>
        <v>0.13124748133563843</v>
      </c>
      <c r="C7" s="33">
        <f>'GF Revenue'!D21/'GF Revenue'!D31</f>
        <v>9.4897934138848533E-2</v>
      </c>
      <c r="D7" s="47" t="str">
        <f>IF(C7&gt;B7,"▲",IF(C7&lt;B7,"▼","▬"))</f>
        <v>▼</v>
      </c>
      <c r="E7" s="52"/>
      <c r="F7" s="52"/>
      <c r="G7" s="52"/>
      <c r="H7" s="52"/>
      <c r="I7" s="52"/>
      <c r="J7" s="52"/>
      <c r="K7" s="52"/>
      <c r="L7" s="52"/>
      <c r="M7" s="52"/>
      <c r="N7" s="52"/>
      <c r="O7" s="52"/>
      <c r="P7" s="52"/>
      <c r="Q7" s="52"/>
    </row>
    <row r="8" spans="1:20" x14ac:dyDescent="0.2">
      <c r="A8" t="s">
        <v>163</v>
      </c>
      <c r="B8" s="33">
        <f>'GF Revenue'!C29/'GF Revenue'!C31</f>
        <v>3.2930177899479059E-2</v>
      </c>
      <c r="C8" s="33">
        <f>'GF Revenue'!D29/'GF Revenue'!D31</f>
        <v>2.7155267470094509E-2</v>
      </c>
      <c r="D8" s="47" t="str">
        <f>IF(C8&gt;B8,"▲",IF(C8&lt;B8,"▼","▬"))</f>
        <v>▼</v>
      </c>
      <c r="E8" s="52"/>
      <c r="F8" s="52"/>
      <c r="G8" s="52"/>
      <c r="H8" s="52"/>
      <c r="I8" s="52"/>
      <c r="J8" s="52"/>
      <c r="K8" s="52"/>
      <c r="L8" s="52"/>
      <c r="M8" s="52"/>
      <c r="N8" s="52"/>
      <c r="O8" s="52"/>
      <c r="P8" s="52"/>
      <c r="Q8" s="52"/>
    </row>
    <row r="9" spans="1:20" x14ac:dyDescent="0.2">
      <c r="A9" t="s">
        <v>164</v>
      </c>
      <c r="B9" s="33">
        <f>'GF Revenue'!C6/'GF Revenue'!C15</f>
        <v>0.95508001862751557</v>
      </c>
      <c r="C9" s="33">
        <f>'GF Revenue'!D6/'GF Revenue'!D15</f>
        <v>0.96389542469839196</v>
      </c>
      <c r="D9" s="47" t="str">
        <f>IF(C9&gt;B9,"▲",IF(C9&lt;B9,"▼","▬"))</f>
        <v>▲</v>
      </c>
      <c r="E9" s="52"/>
      <c r="F9" s="52"/>
      <c r="G9" s="52"/>
      <c r="H9" s="52"/>
      <c r="I9" s="52"/>
      <c r="J9" s="52"/>
      <c r="K9" s="52"/>
      <c r="L9" s="52"/>
      <c r="M9" s="52"/>
      <c r="N9" s="52"/>
      <c r="O9" s="52"/>
      <c r="P9" s="52"/>
      <c r="Q9" s="52"/>
    </row>
    <row r="10" spans="1:20" x14ac:dyDescent="0.2">
      <c r="A10" t="s">
        <v>165</v>
      </c>
      <c r="B10" s="14">
        <f>'GF Revenue'!C31/Enrollment!B8</f>
        <v>12120.673080499564</v>
      </c>
      <c r="C10" s="14">
        <f>'GF Revenue'!D31/Enrollment!C8</f>
        <v>12543.359632568447</v>
      </c>
      <c r="D10" s="47" t="str">
        <f>IF(C10&gt;B10,"▲",IF(C10&lt;B10,"▼","▬"))</f>
        <v>▲</v>
      </c>
      <c r="E10" s="52"/>
      <c r="F10" s="52"/>
      <c r="G10" s="52"/>
      <c r="H10" s="52"/>
      <c r="I10" s="52"/>
      <c r="J10" s="52"/>
      <c r="K10" s="52"/>
      <c r="L10" s="52"/>
      <c r="M10" s="52"/>
      <c r="N10" s="52"/>
      <c r="O10" s="52"/>
      <c r="P10" s="52"/>
      <c r="Q10" s="52"/>
    </row>
    <row r="12" spans="1:20" x14ac:dyDescent="0.2">
      <c r="A12" s="4" t="s">
        <v>166</v>
      </c>
      <c r="B12" s="45"/>
      <c r="C12" s="45"/>
      <c r="D12" s="45"/>
    </row>
    <row r="13" spans="1:20" ht="16" customHeight="1" x14ac:dyDescent="0.2">
      <c r="A13" s="12" t="s">
        <v>157</v>
      </c>
      <c r="B13" s="35" t="s">
        <v>158</v>
      </c>
      <c r="C13" s="35" t="s">
        <v>159</v>
      </c>
      <c r="D13" s="46" t="s">
        <v>160</v>
      </c>
      <c r="E13" s="53" t="s">
        <v>185</v>
      </c>
      <c r="F13" s="53"/>
      <c r="G13" s="53"/>
      <c r="H13" s="53"/>
      <c r="I13" s="53"/>
      <c r="J13" s="53"/>
      <c r="K13" s="53"/>
      <c r="L13" s="53"/>
      <c r="M13" s="53"/>
      <c r="N13" s="53"/>
      <c r="O13" s="53"/>
      <c r="P13" s="53"/>
      <c r="Q13" s="53"/>
      <c r="R13" s="53"/>
      <c r="S13" s="53"/>
      <c r="T13" s="53"/>
    </row>
    <row r="14" spans="1:20" x14ac:dyDescent="0.2">
      <c r="A14" t="s">
        <v>167</v>
      </c>
      <c r="B14" s="33">
        <f>'GF Expenditures'!C28/'GF Expenditures'!C34</f>
        <v>0.77287426647078017</v>
      </c>
      <c r="C14" s="33">
        <f>'GF Expenditures'!D28/'GF Expenditures'!D34</f>
        <v>0.77730964862596486</v>
      </c>
      <c r="D14" s="47" t="str">
        <f>IF(C14&gt;B14,"▲",IF(C14&lt;B14,"▼","▬"))</f>
        <v>▲</v>
      </c>
      <c r="E14" s="53"/>
      <c r="F14" s="53"/>
      <c r="G14" s="53"/>
      <c r="H14" s="53"/>
      <c r="I14" s="53"/>
      <c r="J14" s="53"/>
      <c r="K14" s="53"/>
      <c r="L14" s="53"/>
      <c r="M14" s="53"/>
      <c r="N14" s="53"/>
      <c r="O14" s="53"/>
      <c r="P14" s="53"/>
      <c r="Q14" s="53"/>
      <c r="R14" s="53"/>
      <c r="S14" s="53"/>
      <c r="T14" s="53"/>
    </row>
    <row r="15" spans="1:20" x14ac:dyDescent="0.2">
      <c r="A15" t="s">
        <v>168</v>
      </c>
      <c r="B15" s="33">
        <f>'GF Expenditures'!D5/'GF Expenditures'!D24</f>
        <v>0.52368463370578378</v>
      </c>
      <c r="C15" s="33">
        <f>'GF Expenditures'!E5/'GF Expenditures'!E24</f>
        <v>0.51481764189591772</v>
      </c>
      <c r="D15" s="47" t="str">
        <f>IF(C15&gt;B15,"▲",IF(C15&lt;B15,"▼","▬"))</f>
        <v>▼</v>
      </c>
      <c r="E15" s="53"/>
      <c r="F15" s="53"/>
      <c r="G15" s="53"/>
      <c r="H15" s="53"/>
      <c r="I15" s="53"/>
      <c r="J15" s="53"/>
      <c r="K15" s="53"/>
      <c r="L15" s="53"/>
      <c r="M15" s="53"/>
      <c r="N15" s="53"/>
      <c r="O15" s="53"/>
      <c r="P15" s="53"/>
      <c r="Q15" s="53"/>
      <c r="R15" s="53"/>
      <c r="S15" s="53"/>
      <c r="T15" s="53"/>
    </row>
    <row r="16" spans="1:20" x14ac:dyDescent="0.2">
      <c r="A16" t="s">
        <v>169</v>
      </c>
      <c r="B16" s="33">
        <f>'GF Expenditures'!D21/'GF Expenditures'!D24</f>
        <v>3.1875609099060918E-2</v>
      </c>
      <c r="C16" s="33">
        <f>'GF Expenditures'!E21/'GF Expenditures'!E24</f>
        <v>5.5214469145739735E-2</v>
      </c>
      <c r="D16" s="47" t="str">
        <f>IF(C16&gt;B16,"▲",IF(C16&lt;B16,"▼","▬"))</f>
        <v>▲</v>
      </c>
      <c r="E16" s="53"/>
      <c r="F16" s="53"/>
      <c r="G16" s="53"/>
      <c r="H16" s="53"/>
      <c r="I16" s="53"/>
      <c r="J16" s="53"/>
      <c r="K16" s="53"/>
      <c r="L16" s="53"/>
      <c r="M16" s="53"/>
      <c r="N16" s="53"/>
      <c r="O16" s="53"/>
      <c r="P16" s="53"/>
      <c r="Q16" s="53"/>
      <c r="R16" s="53"/>
      <c r="S16" s="53"/>
      <c r="T16" s="53"/>
    </row>
    <row r="17" spans="1:21" x14ac:dyDescent="0.2">
      <c r="A17" t="s">
        <v>151</v>
      </c>
      <c r="B17" s="14">
        <f>'GF Expenditures'!D24/Enrollment!B8</f>
        <v>13464.16340252643</v>
      </c>
      <c r="C17" s="14">
        <f>'GF Expenditures'!E24/Enrollment!C8</f>
        <v>13464.609671885053</v>
      </c>
      <c r="D17" s="47" t="str">
        <f>IF(C17&gt;B17,"▲",IF(C17&lt;B17,"▼","▬"))</f>
        <v>▲</v>
      </c>
      <c r="E17" s="53"/>
      <c r="F17" s="53"/>
      <c r="G17" s="53"/>
      <c r="H17" s="53"/>
      <c r="I17" s="53"/>
      <c r="J17" s="53"/>
      <c r="K17" s="53"/>
      <c r="L17" s="53"/>
      <c r="M17" s="53"/>
      <c r="N17" s="53"/>
      <c r="O17" s="53"/>
      <c r="P17" s="53"/>
      <c r="Q17" s="53"/>
      <c r="R17" s="53"/>
      <c r="S17" s="53"/>
      <c r="T17" s="53"/>
    </row>
    <row r="18" spans="1:21" x14ac:dyDescent="0.2">
      <c r="A18" t="s">
        <v>170</v>
      </c>
      <c r="B18" s="14">
        <f>'GF Expenditures'!D5/Enrollment!B8</f>
        <v>7050.9754796068728</v>
      </c>
      <c r="C18" s="14">
        <f>'GF Expenditures'!E5/Enrollment!C8</f>
        <v>6931.8186003288301</v>
      </c>
      <c r="D18" s="47" t="str">
        <f>IF(C18&gt;B18,"▲",IF(C18&lt;B18,"▼","▬"))</f>
        <v>▼</v>
      </c>
      <c r="E18" s="53"/>
      <c r="F18" s="53"/>
      <c r="G18" s="53"/>
      <c r="H18" s="53"/>
      <c r="I18" s="53"/>
      <c r="J18" s="53"/>
      <c r="K18" s="53"/>
      <c r="L18" s="53"/>
      <c r="M18" s="53"/>
      <c r="N18" s="53"/>
      <c r="O18" s="53"/>
      <c r="P18" s="53"/>
      <c r="Q18" s="53"/>
      <c r="R18" s="53"/>
      <c r="S18" s="53"/>
      <c r="T18" s="53"/>
    </row>
    <row r="19" spans="1:21" x14ac:dyDescent="0.2">
      <c r="E19" s="53"/>
      <c r="F19" s="53"/>
      <c r="G19" s="53"/>
      <c r="H19" s="53"/>
      <c r="I19" s="53"/>
      <c r="J19" s="53"/>
      <c r="K19" s="53"/>
      <c r="L19" s="53"/>
      <c r="M19" s="53"/>
      <c r="N19" s="53"/>
      <c r="O19" s="53"/>
      <c r="P19" s="53"/>
      <c r="Q19" s="53"/>
      <c r="R19" s="53"/>
      <c r="S19" s="53"/>
      <c r="T19" s="53"/>
    </row>
    <row r="20" spans="1:21" x14ac:dyDescent="0.2">
      <c r="A20" s="4" t="s">
        <v>171</v>
      </c>
      <c r="B20" s="45"/>
      <c r="C20" s="45"/>
      <c r="D20" s="45"/>
    </row>
    <row r="21" spans="1:21" x14ac:dyDescent="0.2">
      <c r="A21" s="12" t="s">
        <v>157</v>
      </c>
      <c r="B21" s="35" t="s">
        <v>158</v>
      </c>
      <c r="C21" s="35" t="s">
        <v>159</v>
      </c>
      <c r="D21" s="46" t="s">
        <v>160</v>
      </c>
      <c r="E21" s="54" t="s">
        <v>187</v>
      </c>
      <c r="F21" s="54"/>
      <c r="G21" s="54"/>
      <c r="H21" s="54"/>
      <c r="I21" s="54"/>
      <c r="J21" s="54"/>
      <c r="K21" s="54"/>
      <c r="L21" s="54"/>
      <c r="M21" s="54"/>
      <c r="N21" s="54"/>
      <c r="O21" s="54"/>
      <c r="P21" s="54"/>
      <c r="Q21" s="54"/>
      <c r="R21" s="54"/>
      <c r="S21" s="54"/>
      <c r="T21" s="54"/>
      <c r="U21" s="54"/>
    </row>
    <row r="22" spans="1:21" x14ac:dyDescent="0.2">
      <c r="A22" t="s">
        <v>172</v>
      </c>
      <c r="B22" s="15">
        <f>'GF Revenue'!C31-'GF Expenditures'!D24</f>
        <v>-187822634</v>
      </c>
      <c r="C22" s="15">
        <f>'GF Revenue'!D31-'GF Expenditures'!E24</f>
        <v>-128873668</v>
      </c>
      <c r="D22" s="47" t="str">
        <f>IF(C22&gt;B22,"▲",IF(C22&lt;B22,"▼","▬"))</f>
        <v>▲</v>
      </c>
      <c r="E22" s="54"/>
      <c r="F22" s="54"/>
      <c r="G22" s="54"/>
      <c r="H22" s="54"/>
      <c r="I22" s="54"/>
      <c r="J22" s="54"/>
      <c r="K22" s="54"/>
      <c r="L22" s="54"/>
      <c r="M22" s="54"/>
      <c r="N22" s="54"/>
      <c r="O22" s="54"/>
      <c r="P22" s="54"/>
      <c r="Q22" s="54"/>
      <c r="R22" s="54"/>
      <c r="S22" s="54"/>
      <c r="T22" s="54"/>
      <c r="U22" s="54"/>
    </row>
    <row r="23" spans="1:21" x14ac:dyDescent="0.2">
      <c r="A23" t="s">
        <v>173</v>
      </c>
      <c r="B23" s="48">
        <f>'GF Revenue'!C31/'GF Expenditures'!D24</f>
        <v>0.90021731897766688</v>
      </c>
      <c r="C23" s="48">
        <f>'GF Revenue'!D31/'GF Expenditures'!E24</f>
        <v>0.93157989263957397</v>
      </c>
      <c r="D23" s="47" t="str">
        <f>IF(C23&gt;B23,"▲",IF(C23&lt;B23,"▼","▬"))</f>
        <v>▲</v>
      </c>
      <c r="E23" s="54"/>
      <c r="F23" s="54"/>
      <c r="G23" s="54"/>
      <c r="H23" s="54"/>
      <c r="I23" s="54"/>
      <c r="J23" s="54"/>
      <c r="K23" s="54"/>
      <c r="L23" s="54"/>
      <c r="M23" s="54"/>
      <c r="N23" s="54"/>
      <c r="O23" s="54"/>
      <c r="P23" s="54"/>
      <c r="Q23" s="54"/>
      <c r="R23" s="54"/>
      <c r="S23" s="54"/>
      <c r="T23" s="54"/>
      <c r="U23" s="54"/>
    </row>
    <row r="24" spans="1:21" x14ac:dyDescent="0.2">
      <c r="A24" t="s">
        <v>174</v>
      </c>
      <c r="C24" s="49">
        <v>-128873668</v>
      </c>
      <c r="E24" s="54"/>
      <c r="F24" s="54"/>
      <c r="G24" s="54"/>
      <c r="H24" s="54"/>
      <c r="I24" s="54"/>
      <c r="J24" s="54"/>
      <c r="K24" s="54"/>
      <c r="L24" s="54"/>
      <c r="M24" s="54"/>
      <c r="N24" s="54"/>
      <c r="O24" s="54"/>
      <c r="P24" s="54"/>
      <c r="Q24" s="54"/>
      <c r="R24" s="54"/>
      <c r="S24" s="54"/>
      <c r="T24" s="54"/>
      <c r="U24" s="54"/>
    </row>
    <row r="25" spans="1:21" x14ac:dyDescent="0.2">
      <c r="A25" t="s">
        <v>175</v>
      </c>
      <c r="C25" s="50">
        <f>C24/'GF Revenue'!D31</f>
        <v>-7.3445238461042658E-2</v>
      </c>
      <c r="E25" s="54"/>
      <c r="F25" s="54"/>
      <c r="G25" s="54"/>
      <c r="H25" s="54"/>
      <c r="I25" s="54"/>
      <c r="J25" s="54"/>
      <c r="K25" s="54"/>
      <c r="L25" s="54"/>
      <c r="M25" s="54"/>
      <c r="N25" s="54"/>
      <c r="O25" s="54"/>
      <c r="P25" s="54"/>
      <c r="Q25" s="54"/>
      <c r="R25" s="54"/>
      <c r="S25" s="54"/>
      <c r="T25" s="54"/>
      <c r="U25" s="54"/>
    </row>
    <row r="26" spans="1:21" x14ac:dyDescent="0.2">
      <c r="E26" s="54"/>
      <c r="F26" s="54"/>
      <c r="G26" s="54"/>
      <c r="H26" s="54"/>
      <c r="I26" s="54"/>
      <c r="J26" s="54"/>
      <c r="K26" s="54"/>
      <c r="L26" s="54"/>
      <c r="M26" s="54"/>
      <c r="N26" s="54"/>
      <c r="O26" s="54"/>
      <c r="P26" s="54"/>
      <c r="Q26" s="54"/>
      <c r="R26" s="54"/>
      <c r="S26" s="54"/>
      <c r="T26" s="54"/>
      <c r="U26" s="54"/>
    </row>
    <row r="27" spans="1:21" x14ac:dyDescent="0.2">
      <c r="A27" t="s">
        <v>176</v>
      </c>
      <c r="C27" s="51">
        <f>'Other Funds'!D27/'Other Funds'!D34</f>
        <v>1.0915250500802141</v>
      </c>
      <c r="E27" s="54"/>
      <c r="F27" s="54"/>
      <c r="G27" s="54"/>
      <c r="H27" s="54"/>
      <c r="I27" s="54"/>
      <c r="J27" s="54"/>
      <c r="K27" s="54"/>
      <c r="L27" s="54"/>
      <c r="M27" s="54"/>
      <c r="N27" s="54"/>
      <c r="O27" s="54"/>
      <c r="P27" s="54"/>
      <c r="Q27" s="54"/>
      <c r="R27" s="54"/>
      <c r="S27" s="54"/>
      <c r="T27" s="54"/>
      <c r="U27" s="54"/>
    </row>
    <row r="28" spans="1:21" x14ac:dyDescent="0.2">
      <c r="A28" t="s">
        <v>177</v>
      </c>
      <c r="C28" s="15">
        <f>'Other Funds'!D36</f>
        <v>39461785</v>
      </c>
      <c r="E28" s="54"/>
      <c r="F28" s="54"/>
      <c r="G28" s="54"/>
      <c r="H28" s="54"/>
      <c r="I28" s="54"/>
      <c r="J28" s="54"/>
      <c r="K28" s="54"/>
      <c r="L28" s="54"/>
      <c r="M28" s="54"/>
      <c r="N28" s="54"/>
      <c r="O28" s="54"/>
      <c r="P28" s="54"/>
      <c r="Q28" s="54"/>
      <c r="R28" s="54"/>
      <c r="S28" s="54"/>
      <c r="T28" s="54"/>
      <c r="U28" s="54"/>
    </row>
    <row r="29" spans="1:21" x14ac:dyDescent="0.2">
      <c r="E29" s="54"/>
      <c r="F29" s="54"/>
      <c r="G29" s="54"/>
      <c r="H29" s="54"/>
      <c r="I29" s="54"/>
      <c r="J29" s="54"/>
      <c r="K29" s="54"/>
      <c r="L29" s="54"/>
      <c r="M29" s="54"/>
      <c r="N29" s="54"/>
      <c r="O29" s="54"/>
      <c r="P29" s="54"/>
      <c r="Q29" s="54"/>
      <c r="R29" s="54"/>
      <c r="S29" s="54"/>
      <c r="T29" s="54"/>
      <c r="U29" s="54"/>
    </row>
    <row r="30" spans="1:21" x14ac:dyDescent="0.2">
      <c r="A30" s="4" t="s">
        <v>178</v>
      </c>
      <c r="B30" s="45"/>
      <c r="C30" s="45"/>
      <c r="D30" s="45"/>
    </row>
    <row r="31" spans="1:21" x14ac:dyDescent="0.2">
      <c r="A31" t="s">
        <v>179</v>
      </c>
      <c r="B31" s="7">
        <v>60000000</v>
      </c>
      <c r="C31" s="7">
        <v>104000000</v>
      </c>
      <c r="E31" s="54" t="s">
        <v>188</v>
      </c>
      <c r="F31" s="54"/>
      <c r="G31" s="54"/>
      <c r="H31" s="54"/>
      <c r="I31" s="54"/>
      <c r="J31" s="54"/>
      <c r="K31" s="54"/>
      <c r="L31" s="54"/>
      <c r="M31" s="54"/>
      <c r="N31" s="54"/>
      <c r="O31" s="54"/>
      <c r="P31" s="54"/>
      <c r="Q31" s="54"/>
    </row>
    <row r="32" spans="1:21" x14ac:dyDescent="0.2">
      <c r="A32" t="s">
        <v>180</v>
      </c>
      <c r="C32" s="15">
        <f>C31-B31</f>
        <v>44000000</v>
      </c>
      <c r="E32" s="54"/>
      <c r="F32" s="54"/>
      <c r="G32" s="54"/>
      <c r="H32" s="54"/>
      <c r="I32" s="54"/>
      <c r="J32" s="54"/>
      <c r="K32" s="54"/>
      <c r="L32" s="54"/>
      <c r="M32" s="54"/>
      <c r="N32" s="54"/>
      <c r="O32" s="54"/>
      <c r="P32" s="54"/>
      <c r="Q32" s="54"/>
    </row>
    <row r="33" spans="1:17" x14ac:dyDescent="0.2">
      <c r="A33" t="s">
        <v>46</v>
      </c>
      <c r="C33" s="33">
        <f>C32/B31</f>
        <v>0.73333333333333328</v>
      </c>
      <c r="E33" s="54"/>
      <c r="F33" s="54"/>
      <c r="G33" s="54"/>
      <c r="H33" s="54"/>
      <c r="I33" s="54"/>
      <c r="J33" s="54"/>
      <c r="K33" s="54"/>
      <c r="L33" s="54"/>
      <c r="M33" s="54"/>
      <c r="N33" s="54"/>
      <c r="O33" s="54"/>
      <c r="P33" s="54"/>
      <c r="Q33" s="54"/>
    </row>
    <row r="34" spans="1:17" x14ac:dyDescent="0.2">
      <c r="A34" t="s">
        <v>181</v>
      </c>
      <c r="C34" s="14">
        <f>C31/Enrollment!C8</f>
        <v>743.44127528772606</v>
      </c>
      <c r="E34" s="54"/>
      <c r="F34" s="54"/>
      <c r="G34" s="54"/>
      <c r="H34" s="54"/>
      <c r="I34" s="54"/>
      <c r="J34" s="54"/>
      <c r="K34" s="54"/>
      <c r="L34" s="54"/>
      <c r="M34" s="54"/>
      <c r="N34" s="54"/>
      <c r="O34" s="54"/>
      <c r="P34" s="54"/>
      <c r="Q34" s="54"/>
    </row>
    <row r="35" spans="1:17" x14ac:dyDescent="0.2">
      <c r="A35" t="s">
        <v>182</v>
      </c>
      <c r="C35" s="14">
        <f>'GF Expenditures'!E24-C31</f>
        <v>1779564247</v>
      </c>
      <c r="E35" s="54"/>
      <c r="F35" s="54"/>
      <c r="G35" s="54"/>
      <c r="H35" s="54"/>
      <c r="I35" s="54"/>
      <c r="J35" s="54"/>
      <c r="K35" s="54"/>
      <c r="L35" s="54"/>
      <c r="M35" s="54"/>
      <c r="N35" s="54"/>
      <c r="O35" s="54"/>
      <c r="P35" s="54"/>
      <c r="Q35" s="54"/>
    </row>
    <row r="36" spans="1:17" x14ac:dyDescent="0.2">
      <c r="A36" t="s">
        <v>183</v>
      </c>
      <c r="C36" s="33">
        <f>'GF Expenditures'!D28/C35</f>
        <v>0.8227366140155995</v>
      </c>
      <c r="E36" s="54"/>
      <c r="F36" s="54"/>
      <c r="G36" s="54"/>
      <c r="H36" s="54"/>
      <c r="I36" s="54"/>
      <c r="J36" s="54"/>
      <c r="K36" s="54"/>
      <c r="L36" s="54"/>
      <c r="M36" s="54"/>
      <c r="N36" s="54"/>
      <c r="O36" s="54"/>
      <c r="P36" s="54"/>
      <c r="Q36" s="54"/>
    </row>
    <row r="37" spans="1:17" x14ac:dyDescent="0.2">
      <c r="E37" s="54"/>
      <c r="F37" s="54"/>
      <c r="G37" s="54"/>
      <c r="H37" s="54"/>
      <c r="I37" s="54"/>
      <c r="J37" s="54"/>
      <c r="K37" s="54"/>
      <c r="L37" s="54"/>
      <c r="M37" s="54"/>
      <c r="N37" s="54"/>
      <c r="O37" s="54"/>
      <c r="P37" s="54"/>
      <c r="Q37" s="54"/>
    </row>
    <row r="38" spans="1:17" x14ac:dyDescent="0.2">
      <c r="E38" s="54"/>
      <c r="F38" s="54"/>
      <c r="G38" s="54"/>
      <c r="H38" s="54"/>
      <c r="I38" s="54"/>
      <c r="J38" s="54"/>
      <c r="K38" s="54"/>
      <c r="L38" s="54"/>
      <c r="M38" s="54"/>
      <c r="N38" s="54"/>
      <c r="O38" s="54"/>
      <c r="P38" s="54"/>
      <c r="Q38" s="54"/>
    </row>
    <row r="39" spans="1:17" x14ac:dyDescent="0.2">
      <c r="E39" s="54"/>
      <c r="F39" s="54"/>
      <c r="G39" s="54"/>
      <c r="H39" s="54"/>
      <c r="I39" s="54"/>
      <c r="J39" s="54"/>
      <c r="K39" s="54"/>
      <c r="L39" s="54"/>
      <c r="M39" s="54"/>
      <c r="N39" s="54"/>
      <c r="O39" s="54"/>
      <c r="P39" s="54"/>
      <c r="Q39" s="54"/>
    </row>
    <row r="40" spans="1:17" x14ac:dyDescent="0.2">
      <c r="E40" s="54"/>
      <c r="F40" s="54"/>
      <c r="G40" s="54"/>
      <c r="H40" s="54"/>
      <c r="I40" s="54"/>
      <c r="J40" s="54"/>
      <c r="K40" s="54"/>
      <c r="L40" s="54"/>
      <c r="M40" s="54"/>
      <c r="N40" s="54"/>
      <c r="O40" s="54"/>
      <c r="P40" s="54"/>
      <c r="Q40" s="54"/>
    </row>
    <row r="41" spans="1:17" x14ac:dyDescent="0.2">
      <c r="E41" s="54"/>
      <c r="F41" s="54"/>
      <c r="G41" s="54"/>
      <c r="H41" s="54"/>
      <c r="I41" s="54"/>
      <c r="J41" s="54"/>
      <c r="K41" s="54"/>
      <c r="L41" s="54"/>
      <c r="M41" s="54"/>
      <c r="N41" s="54"/>
      <c r="O41" s="54"/>
      <c r="P41" s="54"/>
      <c r="Q41" s="54"/>
    </row>
  </sheetData>
  <mergeCells count="4">
    <mergeCell ref="E31:Q41"/>
    <mergeCell ref="E3:Q10"/>
    <mergeCell ref="E13:T19"/>
    <mergeCell ref="E21:U29"/>
  </mergeCells>
  <conditionalFormatting sqref="D6:D10">
    <cfRule type="containsText" dxfId="6" priority="1" operator="containsText" text="▲">
      <formula>NOT(ISERROR(SEARCH("▲",D6)))</formula>
    </cfRule>
  </conditionalFormatting>
  <conditionalFormatting sqref="D6:D10">
    <cfRule type="containsText" dxfId="5" priority="2" operator="containsText" text="▼">
      <formula>NOT(ISERROR(SEARCH("▼",D6)))</formula>
    </cfRule>
  </conditionalFormatting>
  <conditionalFormatting sqref="D14:D18">
    <cfRule type="containsText" dxfId="4" priority="3" operator="containsText" text="▲">
      <formula>NOT(ISERROR(SEARCH("▲",D14)))</formula>
    </cfRule>
  </conditionalFormatting>
  <conditionalFormatting sqref="D14:D18">
    <cfRule type="containsText" dxfId="3" priority="4" operator="containsText" text="▼">
      <formula>NOT(ISERROR(SEARCH("▼",D14)))</formula>
    </cfRule>
  </conditionalFormatting>
  <conditionalFormatting sqref="D22:D23">
    <cfRule type="containsText" dxfId="2" priority="5" operator="containsText" text="▲">
      <formula>NOT(ISERROR(SEARCH("▲",D22)))</formula>
    </cfRule>
  </conditionalFormatting>
  <conditionalFormatting sqref="D22:D23">
    <cfRule type="containsText" dxfId="1" priority="6" operator="containsText" text="▼">
      <formula>NOT(ISERROR(SEARCH("▼",D22)))</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Budget Summary</vt:lpstr>
      <vt:lpstr>GF Revenue</vt:lpstr>
      <vt:lpstr>GF Expenditures</vt:lpstr>
      <vt:lpstr>Other Funds</vt:lpstr>
      <vt:lpstr>Enrollment</vt:lpstr>
      <vt:lpstr>Scenario Analysis</vt:lpstr>
      <vt:lpstr>Financial 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Almeida</dc:creator>
  <cp:lastModifiedBy>Roberto Almeida</cp:lastModifiedBy>
  <dcterms:created xsi:type="dcterms:W3CDTF">2026-05-07T07:30:48Z</dcterms:created>
  <dcterms:modified xsi:type="dcterms:W3CDTF">2026-05-07T21:36:37Z</dcterms:modified>
</cp:coreProperties>
</file>